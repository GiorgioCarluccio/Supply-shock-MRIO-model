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economics-my.sharepoint.com/personal/giorgio_carluccio_openeconomics_eu/Documents/GitHub/Supply-shock-MRIO-model/"/>
    </mc:Choice>
  </mc:AlternateContent>
  <xr:revisionPtr revIDLastSave="1858" documentId="8_{2CB43A3D-1D5A-4710-936C-2945251EE909}" xr6:coauthVersionLast="47" xr6:coauthVersionMax="47" xr10:uidLastSave="{4CA2E742-C11B-4C2C-980F-B57354883510}"/>
  <bookViews>
    <workbookView xWindow="-108" yWindow="-108" windowWidth="30936" windowHeight="16776" xr2:uid="{AFBBCD39-DF5F-4F17-A062-8245C494084C}"/>
  </bookViews>
  <sheets>
    <sheet name="IO_sub_model" sheetId="2" r:id="rId1"/>
    <sheet name="IO_sub_model - t+1" sheetId="7" r:id="rId2"/>
    <sheet name="IO_sub_model - t+2" sheetId="8" r:id="rId3"/>
    <sheet name="IO_sub_model - t+3" sheetId="9" r:id="rId4"/>
    <sheet name="IO_sub_model (2)" sheetId="3" r:id="rId5"/>
    <sheet name="IO_sub_model (3)" sheetId="4" r:id="rId6"/>
    <sheet name="IO_sub_model (4)" sheetId="5" r:id="rId7"/>
    <sheet name="IO_sub_model (5)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7" l="1" a="1"/>
  <c r="G47" i="7" s="1"/>
  <c r="D221" i="9"/>
  <c r="D218" i="9"/>
  <c r="D217" i="9"/>
  <c r="D220" i="9" s="1"/>
  <c r="D216" i="9"/>
  <c r="D219" i="9" s="1"/>
  <c r="D205" i="9"/>
  <c r="D208" i="9" s="1"/>
  <c r="D204" i="9"/>
  <c r="D207" i="9" s="1"/>
  <c r="D203" i="9"/>
  <c r="D206" i="9" s="1"/>
  <c r="L167" i="9"/>
  <c r="H167" i="9"/>
  <c r="D158" i="9"/>
  <c r="D155" i="9"/>
  <c r="D154" i="9"/>
  <c r="D153" i="9"/>
  <c r="D156" i="9" s="1"/>
  <c r="D145" i="9"/>
  <c r="D144" i="9"/>
  <c r="D142" i="9"/>
  <c r="D141" i="9"/>
  <c r="D140" i="9"/>
  <c r="D143" i="9" s="1"/>
  <c r="D125" i="9"/>
  <c r="D123" i="9"/>
  <c r="D126" i="9" s="1"/>
  <c r="D122" i="9"/>
  <c r="D121" i="9"/>
  <c r="N118" i="9"/>
  <c r="N118" i="9" a="1"/>
  <c r="D114" i="9"/>
  <c r="D112" i="9"/>
  <c r="D111" i="9"/>
  <c r="D110" i="9"/>
  <c r="D113" i="9" s="1"/>
  <c r="D109" i="9"/>
  <c r="D101" i="9"/>
  <c r="D99" i="9"/>
  <c r="D102" i="9" s="1"/>
  <c r="D98" i="9"/>
  <c r="D97" i="9"/>
  <c r="D100" i="9" s="1"/>
  <c r="D83" i="9"/>
  <c r="D86" i="9" s="1"/>
  <c r="D82" i="9"/>
  <c r="D85" i="9" s="1"/>
  <c r="D81" i="9"/>
  <c r="D84" i="9" s="1"/>
  <c r="D67" i="9"/>
  <c r="D65" i="9"/>
  <c r="D68" i="9" s="1"/>
  <c r="D64" i="9"/>
  <c r="D63" i="9"/>
  <c r="D66" i="9" s="1"/>
  <c r="L55" i="9"/>
  <c r="M55" i="9" s="1"/>
  <c r="D55" i="9"/>
  <c r="L54" i="9"/>
  <c r="M54" i="9" s="1"/>
  <c r="L53" i="9"/>
  <c r="M53" i="9" s="1"/>
  <c r="L52" i="9"/>
  <c r="M52" i="9" s="1"/>
  <c r="K52" i="9"/>
  <c r="K55" i="9" s="1"/>
  <c r="D52" i="9"/>
  <c r="L51" i="9"/>
  <c r="M51" i="9" s="1"/>
  <c r="K51" i="9"/>
  <c r="K54" i="9" s="1"/>
  <c r="D51" i="9"/>
  <c r="D54" i="9" s="1"/>
  <c r="L50" i="9"/>
  <c r="M50" i="9" s="1"/>
  <c r="K50" i="9"/>
  <c r="K53" i="9" s="1"/>
  <c r="D50" i="9"/>
  <c r="D53" i="9" s="1"/>
  <c r="L49" i="9"/>
  <c r="M49" i="9" s="1"/>
  <c r="L48" i="9"/>
  <c r="M48" i="9" s="1"/>
  <c r="L47" i="9"/>
  <c r="M47" i="9" s="1"/>
  <c r="G47" i="9" a="1"/>
  <c r="D41" i="9"/>
  <c r="D44" i="9" s="1"/>
  <c r="D40" i="9"/>
  <c r="D43" i="9" s="1"/>
  <c r="D39" i="9"/>
  <c r="M30" i="9"/>
  <c r="L30" i="9"/>
  <c r="H30" i="9"/>
  <c r="M29" i="9"/>
  <c r="L29" i="9"/>
  <c r="K29" i="9"/>
  <c r="J29" i="9"/>
  <c r="H29" i="9"/>
  <c r="L28" i="9"/>
  <c r="H28" i="9"/>
  <c r="M27" i="9"/>
  <c r="J27" i="9"/>
  <c r="H27" i="9"/>
  <c r="D27" i="9"/>
  <c r="M26" i="9"/>
  <c r="K26" i="9"/>
  <c r="H26" i="9"/>
  <c r="D26" i="9"/>
  <c r="D29" i="9" s="1"/>
  <c r="M25" i="9"/>
  <c r="L25" i="9"/>
  <c r="D25" i="9"/>
  <c r="D28" i="9" s="1"/>
  <c r="M24" i="9"/>
  <c r="L24" i="9"/>
  <c r="K24" i="9"/>
  <c r="J24" i="9"/>
  <c r="D24" i="9"/>
  <c r="M23" i="9"/>
  <c r="L23" i="9"/>
  <c r="K23" i="9"/>
  <c r="J23" i="9"/>
  <c r="I23" i="9"/>
  <c r="H23" i="9"/>
  <c r="M22" i="9"/>
  <c r="L22" i="9"/>
  <c r="H22" i="9"/>
  <c r="M21" i="9"/>
  <c r="K21" i="9"/>
  <c r="J21" i="9"/>
  <c r="I21" i="9"/>
  <c r="H21" i="9"/>
  <c r="M15" i="9"/>
  <c r="L15" i="9"/>
  <c r="K15" i="9"/>
  <c r="J15" i="9"/>
  <c r="I15" i="9"/>
  <c r="H15" i="9"/>
  <c r="H24" i="9" s="1"/>
  <c r="G15" i="9"/>
  <c r="F15" i="9"/>
  <c r="E15" i="9"/>
  <c r="N14" i="9"/>
  <c r="O13" i="9"/>
  <c r="O12" i="9"/>
  <c r="D12" i="9"/>
  <c r="O11" i="9"/>
  <c r="O10" i="9"/>
  <c r="D10" i="9"/>
  <c r="D13" i="9" s="1"/>
  <c r="O9" i="9"/>
  <c r="D9" i="9"/>
  <c r="O8" i="9"/>
  <c r="D8" i="9"/>
  <c r="D11" i="9" s="1"/>
  <c r="O7" i="9"/>
  <c r="O6" i="9"/>
  <c r="O5" i="9"/>
  <c r="D218" i="8"/>
  <c r="D221" i="8" s="1"/>
  <c r="D217" i="8"/>
  <c r="D220" i="8" s="1"/>
  <c r="D216" i="8"/>
  <c r="D219" i="8" s="1"/>
  <c r="D207" i="8"/>
  <c r="D205" i="8"/>
  <c r="D208" i="8" s="1"/>
  <c r="D204" i="8"/>
  <c r="D203" i="8"/>
  <c r="D206" i="8" s="1"/>
  <c r="D171" i="8" a="1"/>
  <c r="D171" i="8" s="1"/>
  <c r="M167" i="8"/>
  <c r="L167" i="8"/>
  <c r="F167" i="8"/>
  <c r="D158" i="8"/>
  <c r="D157" i="8"/>
  <c r="D177" i="8" s="1" a="1"/>
  <c r="D156" i="8"/>
  <c r="D155" i="8"/>
  <c r="D154" i="8"/>
  <c r="D153" i="8"/>
  <c r="D145" i="8"/>
  <c r="D142" i="8"/>
  <c r="D141" i="8"/>
  <c r="D144" i="8" s="1"/>
  <c r="D140" i="8"/>
  <c r="D143" i="8" s="1"/>
  <c r="D126" i="8"/>
  <c r="D124" i="8"/>
  <c r="D123" i="8"/>
  <c r="D122" i="8"/>
  <c r="D121" i="8"/>
  <c r="N118" i="8"/>
  <c r="N118" i="8" a="1"/>
  <c r="D111" i="8"/>
  <c r="D114" i="8" s="1"/>
  <c r="D110" i="8"/>
  <c r="D113" i="8" s="1"/>
  <c r="D109" i="8"/>
  <c r="D112" i="8" s="1"/>
  <c r="D102" i="8"/>
  <c r="D101" i="8"/>
  <c r="D100" i="8"/>
  <c r="D99" i="8"/>
  <c r="D98" i="8"/>
  <c r="D97" i="8"/>
  <c r="D84" i="8"/>
  <c r="D83" i="8"/>
  <c r="D86" i="8" s="1"/>
  <c r="D82" i="8"/>
  <c r="D85" i="8" s="1"/>
  <c r="D81" i="8"/>
  <c r="D66" i="8"/>
  <c r="D65" i="8"/>
  <c r="D68" i="8" s="1"/>
  <c r="D64" i="8"/>
  <c r="D67" i="8" s="1"/>
  <c r="D63" i="8"/>
  <c r="L55" i="8"/>
  <c r="M55" i="8" s="1"/>
  <c r="D55" i="8"/>
  <c r="L54" i="8"/>
  <c r="M54" i="8" s="1"/>
  <c r="L53" i="8"/>
  <c r="M53" i="8" s="1"/>
  <c r="K53" i="8"/>
  <c r="M52" i="8"/>
  <c r="L52" i="8"/>
  <c r="K52" i="8"/>
  <c r="K55" i="8" s="1"/>
  <c r="D52" i="8"/>
  <c r="L51" i="8"/>
  <c r="M51" i="8" s="1"/>
  <c r="K51" i="8"/>
  <c r="K54" i="8" s="1"/>
  <c r="D51" i="8"/>
  <c r="D54" i="8" s="1"/>
  <c r="L50" i="8"/>
  <c r="M50" i="8" s="1"/>
  <c r="K50" i="8"/>
  <c r="D50" i="8"/>
  <c r="D53" i="8" s="1"/>
  <c r="L49" i="8"/>
  <c r="M49" i="8" s="1"/>
  <c r="M48" i="8"/>
  <c r="L48" i="8"/>
  <c r="L47" i="8"/>
  <c r="M47" i="8" s="1"/>
  <c r="G47" i="8" a="1"/>
  <c r="D41" i="8"/>
  <c r="D44" i="8" s="1"/>
  <c r="D40" i="8"/>
  <c r="D43" i="8" s="1"/>
  <c r="D39" i="8"/>
  <c r="M30" i="8"/>
  <c r="L30" i="8"/>
  <c r="J30" i="8"/>
  <c r="I30" i="8"/>
  <c r="H30" i="8"/>
  <c r="E30" i="8"/>
  <c r="M29" i="8"/>
  <c r="F29" i="8"/>
  <c r="E29" i="8"/>
  <c r="D29" i="8"/>
  <c r="L28" i="8"/>
  <c r="F28" i="8"/>
  <c r="E28" i="8"/>
  <c r="M27" i="8"/>
  <c r="H27" i="8"/>
  <c r="G27" i="8"/>
  <c r="E27" i="8"/>
  <c r="L26" i="8"/>
  <c r="J26" i="8"/>
  <c r="H26" i="8"/>
  <c r="F26" i="8"/>
  <c r="E26" i="8"/>
  <c r="D26" i="8"/>
  <c r="H25" i="8"/>
  <c r="F25" i="8"/>
  <c r="E25" i="8"/>
  <c r="D25" i="8"/>
  <c r="D28" i="8" s="1"/>
  <c r="M24" i="8"/>
  <c r="L24" i="8"/>
  <c r="K24" i="8"/>
  <c r="F24" i="8"/>
  <c r="D24" i="8"/>
  <c r="D27" i="8" s="1"/>
  <c r="J23" i="8"/>
  <c r="I23" i="8"/>
  <c r="H23" i="8"/>
  <c r="F23" i="8"/>
  <c r="E23" i="8"/>
  <c r="J22" i="8"/>
  <c r="I22" i="8"/>
  <c r="H22" i="8"/>
  <c r="F22" i="8"/>
  <c r="E22" i="8"/>
  <c r="M21" i="8"/>
  <c r="F21" i="8"/>
  <c r="E21" i="8"/>
  <c r="M15" i="8"/>
  <c r="L15" i="8"/>
  <c r="K15" i="8"/>
  <c r="J15" i="8"/>
  <c r="I15" i="8"/>
  <c r="H15" i="8"/>
  <c r="G15" i="8"/>
  <c r="F15" i="8"/>
  <c r="E15" i="8"/>
  <c r="E167" i="8" s="1"/>
  <c r="N14" i="8"/>
  <c r="O13" i="8"/>
  <c r="O12" i="8"/>
  <c r="N47" i="8" s="1" a="1"/>
  <c r="O11" i="8"/>
  <c r="O10" i="8"/>
  <c r="D10" i="8"/>
  <c r="D13" i="8" s="1"/>
  <c r="O9" i="8"/>
  <c r="D9" i="8"/>
  <c r="D12" i="8" s="1"/>
  <c r="O8" i="8"/>
  <c r="D8" i="8"/>
  <c r="D11" i="8" s="1"/>
  <c r="O7" i="8"/>
  <c r="O6" i="8"/>
  <c r="O5" i="8"/>
  <c r="L55" i="7"/>
  <c r="M55" i="7" s="1"/>
  <c r="L54" i="7"/>
  <c r="M54" i="7" s="1"/>
  <c r="L53" i="7"/>
  <c r="M53" i="7" s="1"/>
  <c r="L52" i="7"/>
  <c r="L51" i="7"/>
  <c r="L50" i="7"/>
  <c r="M50" i="7" s="1"/>
  <c r="L49" i="7"/>
  <c r="M49" i="7" s="1"/>
  <c r="L48" i="7"/>
  <c r="M48" i="7" s="1"/>
  <c r="L47" i="7"/>
  <c r="M47" i="7" s="1"/>
  <c r="D221" i="7"/>
  <c r="D218" i="7"/>
  <c r="D217" i="7"/>
  <c r="D220" i="7" s="1"/>
  <c r="D216" i="7"/>
  <c r="D219" i="7" s="1"/>
  <c r="D205" i="7"/>
  <c r="D208" i="7" s="1"/>
  <c r="D204" i="7"/>
  <c r="D207" i="7" s="1"/>
  <c r="D203" i="7"/>
  <c r="D206" i="7" s="1"/>
  <c r="J167" i="7"/>
  <c r="I167" i="7"/>
  <c r="H167" i="7"/>
  <c r="D157" i="7"/>
  <c r="D155" i="7"/>
  <c r="D158" i="7" s="1"/>
  <c r="D154" i="7"/>
  <c r="D153" i="7"/>
  <c r="D144" i="7"/>
  <c r="D142" i="7"/>
  <c r="D145" i="7" s="1"/>
  <c r="D141" i="7"/>
  <c r="D140" i="7"/>
  <c r="D143" i="7" s="1"/>
  <c r="D125" i="7"/>
  <c r="D124" i="7"/>
  <c r="D123" i="7"/>
  <c r="D126" i="7" s="1"/>
  <c r="D122" i="7"/>
  <c r="D121" i="7"/>
  <c r="N118" i="7" a="1"/>
  <c r="N118" i="7" s="1"/>
  <c r="D113" i="7"/>
  <c r="D112" i="7"/>
  <c r="D111" i="7"/>
  <c r="D114" i="7" s="1"/>
  <c r="D110" i="7"/>
  <c r="D109" i="7"/>
  <c r="D102" i="7"/>
  <c r="D99" i="7"/>
  <c r="D98" i="7"/>
  <c r="D101" i="7" s="1"/>
  <c r="D97" i="7"/>
  <c r="D100" i="7" s="1"/>
  <c r="D86" i="7"/>
  <c r="D83" i="7"/>
  <c r="D82" i="7"/>
  <c r="D85" i="7" s="1"/>
  <c r="D81" i="7"/>
  <c r="D84" i="7" s="1"/>
  <c r="D68" i="7"/>
  <c r="D67" i="7"/>
  <c r="D65" i="7"/>
  <c r="D64" i="7"/>
  <c r="D63" i="7"/>
  <c r="D66" i="7" s="1"/>
  <c r="K55" i="7"/>
  <c r="K53" i="7"/>
  <c r="D53" i="7"/>
  <c r="M52" i="7"/>
  <c r="K52" i="7"/>
  <c r="D52" i="7"/>
  <c r="D55" i="7" s="1"/>
  <c r="M51" i="7"/>
  <c r="K51" i="7"/>
  <c r="K54" i="7" s="1"/>
  <c r="D51" i="7"/>
  <c r="D54" i="7" s="1"/>
  <c r="K50" i="7"/>
  <c r="D50" i="7"/>
  <c r="D43" i="7"/>
  <c r="D42" i="7"/>
  <c r="D41" i="7"/>
  <c r="D40" i="7"/>
  <c r="D39" i="7"/>
  <c r="H30" i="7"/>
  <c r="F30" i="7"/>
  <c r="E30" i="7"/>
  <c r="K29" i="7"/>
  <c r="J29" i="7"/>
  <c r="I29" i="7"/>
  <c r="H29" i="7"/>
  <c r="F29" i="7"/>
  <c r="E29" i="7"/>
  <c r="I28" i="7"/>
  <c r="H28" i="7"/>
  <c r="G28" i="7"/>
  <c r="F28" i="7"/>
  <c r="E28" i="7"/>
  <c r="D28" i="7"/>
  <c r="M27" i="7"/>
  <c r="F27" i="7"/>
  <c r="E27" i="7"/>
  <c r="J26" i="7"/>
  <c r="I26" i="7"/>
  <c r="E26" i="7"/>
  <c r="D26" i="7"/>
  <c r="D29" i="7" s="1"/>
  <c r="J25" i="7"/>
  <c r="I25" i="7"/>
  <c r="H25" i="7"/>
  <c r="F25" i="7"/>
  <c r="D25" i="7"/>
  <c r="H24" i="7"/>
  <c r="G24" i="7"/>
  <c r="F24" i="7"/>
  <c r="E24" i="7"/>
  <c r="D24" i="7"/>
  <c r="D27" i="7" s="1"/>
  <c r="K23" i="7"/>
  <c r="J23" i="7"/>
  <c r="H23" i="7"/>
  <c r="F23" i="7"/>
  <c r="E23" i="7"/>
  <c r="I22" i="7"/>
  <c r="H22" i="7"/>
  <c r="G22" i="7"/>
  <c r="F22" i="7"/>
  <c r="M21" i="7"/>
  <c r="I21" i="7"/>
  <c r="H21" i="7"/>
  <c r="F21" i="7"/>
  <c r="E21" i="7"/>
  <c r="M15" i="7"/>
  <c r="M22" i="7" s="1"/>
  <c r="L15" i="7"/>
  <c r="K15" i="7"/>
  <c r="J15" i="7"/>
  <c r="I15" i="7"/>
  <c r="H15" i="7"/>
  <c r="H27" i="7" s="1"/>
  <c r="G15" i="7"/>
  <c r="F15" i="7"/>
  <c r="E15" i="7"/>
  <c r="N14" i="7"/>
  <c r="O13" i="7"/>
  <c r="D13" i="7"/>
  <c r="O12" i="7"/>
  <c r="D12" i="7"/>
  <c r="O11" i="7"/>
  <c r="O10" i="7"/>
  <c r="D10" i="7"/>
  <c r="O9" i="7"/>
  <c r="D9" i="7"/>
  <c r="O8" i="7"/>
  <c r="D8" i="7"/>
  <c r="D11" i="7" s="1"/>
  <c r="O7" i="7"/>
  <c r="O6" i="7"/>
  <c r="O5" i="7"/>
  <c r="N14" i="2"/>
  <c r="D219" i="6"/>
  <c r="D218" i="6"/>
  <c r="D221" i="6" s="1"/>
  <c r="D217" i="6"/>
  <c r="D216" i="6"/>
  <c r="D207" i="6"/>
  <c r="D206" i="6"/>
  <c r="D205" i="6"/>
  <c r="D208" i="6" s="1"/>
  <c r="D204" i="6"/>
  <c r="D203" i="6"/>
  <c r="M173" i="6"/>
  <c r="L173" i="6"/>
  <c r="K173" i="6"/>
  <c r="J173" i="6"/>
  <c r="I173" i="6"/>
  <c r="H173" i="6"/>
  <c r="G173" i="6"/>
  <c r="F173" i="6"/>
  <c r="E173" i="6"/>
  <c r="M172" i="6"/>
  <c r="L172" i="6"/>
  <c r="K172" i="6"/>
  <c r="J172" i="6"/>
  <c r="I172" i="6"/>
  <c r="H172" i="6"/>
  <c r="G172" i="6"/>
  <c r="F172" i="6"/>
  <c r="E172" i="6"/>
  <c r="M171" i="6"/>
  <c r="L171" i="6"/>
  <c r="K171" i="6"/>
  <c r="J171" i="6"/>
  <c r="I171" i="6"/>
  <c r="H171" i="6"/>
  <c r="G171" i="6"/>
  <c r="F171" i="6"/>
  <c r="E171" i="6"/>
  <c r="D156" i="6"/>
  <c r="D155" i="6"/>
  <c r="D158" i="6" s="1"/>
  <c r="D154" i="6"/>
  <c r="D157" i="6" s="1"/>
  <c r="D153" i="6"/>
  <c r="D144" i="6"/>
  <c r="D142" i="6"/>
  <c r="D145" i="6" s="1"/>
  <c r="D141" i="6"/>
  <c r="D140" i="6"/>
  <c r="D143" i="6" s="1"/>
  <c r="D126" i="6"/>
  <c r="D124" i="6"/>
  <c r="D123" i="6"/>
  <c r="D122" i="6"/>
  <c r="D125" i="6" s="1"/>
  <c r="D121" i="6"/>
  <c r="D113" i="6"/>
  <c r="D111" i="6"/>
  <c r="D114" i="6" s="1"/>
  <c r="D110" i="6"/>
  <c r="D109" i="6"/>
  <c r="D112" i="6" s="1"/>
  <c r="D100" i="6"/>
  <c r="D99" i="6"/>
  <c r="D102" i="6" s="1"/>
  <c r="D98" i="6"/>
  <c r="D101" i="6" s="1"/>
  <c r="D97" i="6"/>
  <c r="D86" i="6"/>
  <c r="D83" i="6"/>
  <c r="D82" i="6"/>
  <c r="D85" i="6" s="1"/>
  <c r="D81" i="6"/>
  <c r="D84" i="6" s="1"/>
  <c r="D68" i="6"/>
  <c r="D67" i="6"/>
  <c r="D65" i="6"/>
  <c r="D64" i="6"/>
  <c r="D63" i="6"/>
  <c r="D66" i="6" s="1"/>
  <c r="G56" i="6"/>
  <c r="M55" i="6"/>
  <c r="K55" i="6"/>
  <c r="D55" i="6"/>
  <c r="M54" i="6"/>
  <c r="M53" i="6"/>
  <c r="D53" i="6"/>
  <c r="M52" i="6"/>
  <c r="K52" i="6"/>
  <c r="D52" i="6"/>
  <c r="M51" i="6"/>
  <c r="K51" i="6"/>
  <c r="K54" i="6" s="1"/>
  <c r="D51" i="6"/>
  <c r="D54" i="6" s="1"/>
  <c r="M50" i="6"/>
  <c r="K50" i="6"/>
  <c r="K53" i="6" s="1"/>
  <c r="D50" i="6"/>
  <c r="M49" i="6"/>
  <c r="M48" i="6"/>
  <c r="M47" i="6"/>
  <c r="D44" i="6"/>
  <c r="D43" i="6"/>
  <c r="D41" i="6"/>
  <c r="D40" i="6"/>
  <c r="D39" i="6"/>
  <c r="D42" i="6" s="1"/>
  <c r="D27" i="6"/>
  <c r="D26" i="6"/>
  <c r="D29" i="6" s="1"/>
  <c r="D25" i="6"/>
  <c r="D28" i="6" s="1"/>
  <c r="D24" i="6"/>
  <c r="D13" i="6"/>
  <c r="D10" i="6"/>
  <c r="D9" i="6"/>
  <c r="D12" i="6" s="1"/>
  <c r="D8" i="6"/>
  <c r="D11" i="6" s="1"/>
  <c r="D219" i="5"/>
  <c r="D218" i="5"/>
  <c r="D221" i="5" s="1"/>
  <c r="D217" i="5"/>
  <c r="D216" i="5"/>
  <c r="D207" i="5"/>
  <c r="D206" i="5"/>
  <c r="D205" i="5"/>
  <c r="D208" i="5" s="1"/>
  <c r="D204" i="5"/>
  <c r="D203" i="5"/>
  <c r="M173" i="5"/>
  <c r="L173" i="5"/>
  <c r="K173" i="5"/>
  <c r="J173" i="5"/>
  <c r="I173" i="5"/>
  <c r="H173" i="5"/>
  <c r="G173" i="5"/>
  <c r="F173" i="5"/>
  <c r="E173" i="5"/>
  <c r="M172" i="5"/>
  <c r="L172" i="5"/>
  <c r="K172" i="5"/>
  <c r="J172" i="5"/>
  <c r="I172" i="5"/>
  <c r="H172" i="5"/>
  <c r="G172" i="5"/>
  <c r="F172" i="5"/>
  <c r="E172" i="5"/>
  <c r="M171" i="5"/>
  <c r="L171" i="5"/>
  <c r="K171" i="5"/>
  <c r="J171" i="5"/>
  <c r="I171" i="5"/>
  <c r="H171" i="5"/>
  <c r="G171" i="5"/>
  <c r="F171" i="5"/>
  <c r="E171" i="5"/>
  <c r="D157" i="5"/>
  <c r="D156" i="5"/>
  <c r="D177" i="5" s="1" a="1"/>
  <c r="D155" i="5"/>
  <c r="D158" i="5" s="1"/>
  <c r="D154" i="5"/>
  <c r="D153" i="5"/>
  <c r="D144" i="5"/>
  <c r="D143" i="5"/>
  <c r="D142" i="5"/>
  <c r="D145" i="5" s="1"/>
  <c r="D141" i="5"/>
  <c r="D140" i="5"/>
  <c r="D126" i="5"/>
  <c r="D124" i="5"/>
  <c r="D123" i="5"/>
  <c r="D122" i="5"/>
  <c r="D121" i="5"/>
  <c r="D113" i="5"/>
  <c r="D111" i="5"/>
  <c r="D114" i="5" s="1"/>
  <c r="D110" i="5"/>
  <c r="D109" i="5"/>
  <c r="D112" i="5" s="1"/>
  <c r="D100" i="5"/>
  <c r="D99" i="5"/>
  <c r="D102" i="5" s="1"/>
  <c r="D98" i="5"/>
  <c r="D101" i="5" s="1"/>
  <c r="D97" i="5"/>
  <c r="D85" i="5"/>
  <c r="D84" i="5"/>
  <c r="D83" i="5"/>
  <c r="D86" i="5" s="1"/>
  <c r="D82" i="5"/>
  <c r="D81" i="5"/>
  <c r="D65" i="5"/>
  <c r="D68" i="5" s="1"/>
  <c r="D64" i="5"/>
  <c r="D67" i="5" s="1"/>
  <c r="D63" i="5"/>
  <c r="D66" i="5" s="1"/>
  <c r="G56" i="5"/>
  <c r="M55" i="5"/>
  <c r="K55" i="5"/>
  <c r="D55" i="5"/>
  <c r="M54" i="5"/>
  <c r="M53" i="5"/>
  <c r="D53" i="5"/>
  <c r="M52" i="5"/>
  <c r="K52" i="5"/>
  <c r="D52" i="5"/>
  <c r="M51" i="5"/>
  <c r="K51" i="5"/>
  <c r="K54" i="5" s="1"/>
  <c r="D51" i="5"/>
  <c r="D54" i="5" s="1"/>
  <c r="M50" i="5"/>
  <c r="E73" i="5" s="1" a="1"/>
  <c r="E73" i="5" s="1"/>
  <c r="K50" i="5"/>
  <c r="K53" i="5" s="1"/>
  <c r="D50" i="5"/>
  <c r="M49" i="5"/>
  <c r="M48" i="5"/>
  <c r="M47" i="5"/>
  <c r="D43" i="5"/>
  <c r="D41" i="5"/>
  <c r="D44" i="5" s="1"/>
  <c r="D40" i="5"/>
  <c r="D39" i="5"/>
  <c r="D42" i="5" s="1"/>
  <c r="D28" i="5"/>
  <c r="D26" i="5"/>
  <c r="D29" i="5" s="1"/>
  <c r="D25" i="5"/>
  <c r="D24" i="5"/>
  <c r="D27" i="5" s="1"/>
  <c r="D13" i="5"/>
  <c r="D10" i="5"/>
  <c r="D9" i="5"/>
  <c r="D12" i="5" s="1"/>
  <c r="D8" i="5"/>
  <c r="D11" i="5" s="1"/>
  <c r="D219" i="4"/>
  <c r="D218" i="4"/>
  <c r="D221" i="4" s="1"/>
  <c r="D217" i="4"/>
  <c r="D220" i="4" s="1"/>
  <c r="D216" i="4"/>
  <c r="D205" i="4"/>
  <c r="D208" i="4" s="1"/>
  <c r="D204" i="4"/>
  <c r="D207" i="4" s="1"/>
  <c r="D203" i="4"/>
  <c r="D206" i="4" s="1"/>
  <c r="M173" i="4"/>
  <c r="L173" i="4"/>
  <c r="K173" i="4"/>
  <c r="J173" i="4"/>
  <c r="I173" i="4"/>
  <c r="H173" i="4"/>
  <c r="G173" i="4"/>
  <c r="F173" i="4"/>
  <c r="E173" i="4"/>
  <c r="M172" i="4"/>
  <c r="L172" i="4"/>
  <c r="K172" i="4"/>
  <c r="J172" i="4"/>
  <c r="I172" i="4"/>
  <c r="H172" i="4"/>
  <c r="G172" i="4"/>
  <c r="F172" i="4"/>
  <c r="E172" i="4"/>
  <c r="M171" i="4"/>
  <c r="L171" i="4"/>
  <c r="K171" i="4"/>
  <c r="J171" i="4"/>
  <c r="I171" i="4"/>
  <c r="H171" i="4"/>
  <c r="G171" i="4"/>
  <c r="F171" i="4"/>
  <c r="E171" i="4"/>
  <c r="D158" i="4"/>
  <c r="D155" i="4"/>
  <c r="D154" i="4"/>
  <c r="D157" i="4" s="1"/>
  <c r="D153" i="4"/>
  <c r="D145" i="4"/>
  <c r="D144" i="4"/>
  <c r="D142" i="4"/>
  <c r="D141" i="4"/>
  <c r="D140" i="4"/>
  <c r="D143" i="4" s="1"/>
  <c r="D125" i="4"/>
  <c r="D123" i="4"/>
  <c r="D126" i="4" s="1"/>
  <c r="D122" i="4"/>
  <c r="D121" i="4"/>
  <c r="D112" i="4"/>
  <c r="D111" i="4"/>
  <c r="D114" i="4" s="1"/>
  <c r="D110" i="4"/>
  <c r="D113" i="4" s="1"/>
  <c r="D109" i="4"/>
  <c r="D101" i="4"/>
  <c r="D100" i="4"/>
  <c r="D99" i="4"/>
  <c r="D102" i="4" s="1"/>
  <c r="D98" i="4"/>
  <c r="D97" i="4"/>
  <c r="D85" i="4"/>
  <c r="D83" i="4"/>
  <c r="D86" i="4" s="1"/>
  <c r="D82" i="4"/>
  <c r="D81" i="4"/>
  <c r="D84" i="4" s="1"/>
  <c r="D68" i="4"/>
  <c r="D66" i="4"/>
  <c r="D65" i="4"/>
  <c r="D64" i="4"/>
  <c r="D67" i="4" s="1"/>
  <c r="D63" i="4"/>
  <c r="G56" i="4"/>
  <c r="M55" i="4"/>
  <c r="M54" i="4"/>
  <c r="M53" i="4"/>
  <c r="K53" i="4"/>
  <c r="D53" i="4"/>
  <c r="M52" i="4"/>
  <c r="K52" i="4"/>
  <c r="K55" i="4" s="1"/>
  <c r="D52" i="4"/>
  <c r="D55" i="4" s="1"/>
  <c r="M51" i="4"/>
  <c r="K51" i="4"/>
  <c r="K54" i="4" s="1"/>
  <c r="D51" i="4"/>
  <c r="D54" i="4" s="1"/>
  <c r="M50" i="4"/>
  <c r="K50" i="4"/>
  <c r="D50" i="4"/>
  <c r="M49" i="4"/>
  <c r="M48" i="4"/>
  <c r="E73" i="4" s="1" a="1"/>
  <c r="E73" i="4" s="1"/>
  <c r="M47" i="4"/>
  <c r="D44" i="4"/>
  <c r="D41" i="4"/>
  <c r="D40" i="4"/>
  <c r="D43" i="4" s="1"/>
  <c r="D39" i="4"/>
  <c r="D42" i="4" s="1"/>
  <c r="D29" i="4"/>
  <c r="D27" i="4"/>
  <c r="D26" i="4"/>
  <c r="D25" i="4"/>
  <c r="D28" i="4" s="1"/>
  <c r="D24" i="4"/>
  <c r="D13" i="4"/>
  <c r="D12" i="4"/>
  <c r="D10" i="4"/>
  <c r="D9" i="4"/>
  <c r="D8" i="4"/>
  <c r="D11" i="4" s="1"/>
  <c r="M48" i="3"/>
  <c r="M49" i="3"/>
  <c r="M50" i="3"/>
  <c r="M51" i="3"/>
  <c r="M52" i="3"/>
  <c r="M53" i="3"/>
  <c r="M54" i="3"/>
  <c r="M55" i="3"/>
  <c r="M47" i="3"/>
  <c r="O14" i="2"/>
  <c r="O117" i="2" a="1"/>
  <c r="O117" i="2" s="1"/>
  <c r="N118" i="2" a="1"/>
  <c r="N118" i="2" s="1"/>
  <c r="E36" i="2" a="1"/>
  <c r="E36" i="2" s="1"/>
  <c r="P5" i="2" a="1"/>
  <c r="P5" i="2" s="1"/>
  <c r="M173" i="3"/>
  <c r="L173" i="3"/>
  <c r="K173" i="3"/>
  <c r="J173" i="3"/>
  <c r="I173" i="3"/>
  <c r="H173" i="3"/>
  <c r="G173" i="3"/>
  <c r="F173" i="3"/>
  <c r="E173" i="3"/>
  <c r="M172" i="3"/>
  <c r="L172" i="3"/>
  <c r="K172" i="3"/>
  <c r="J172" i="3"/>
  <c r="I172" i="3"/>
  <c r="H172" i="3"/>
  <c r="G172" i="3"/>
  <c r="F172" i="3"/>
  <c r="E172" i="3"/>
  <c r="M171" i="3"/>
  <c r="L171" i="3"/>
  <c r="K171" i="3"/>
  <c r="J171" i="3"/>
  <c r="I171" i="3"/>
  <c r="H171" i="3"/>
  <c r="G171" i="3"/>
  <c r="F171" i="3"/>
  <c r="E171" i="3"/>
  <c r="D39" i="3"/>
  <c r="D40" i="3"/>
  <c r="D41" i="3"/>
  <c r="D42" i="3"/>
  <c r="D43" i="3"/>
  <c r="D44" i="3"/>
  <c r="D220" i="3"/>
  <c r="D218" i="3"/>
  <c r="D221" i="3" s="1"/>
  <c r="D217" i="3"/>
  <c r="D216" i="3"/>
  <c r="D219" i="3" s="1"/>
  <c r="D205" i="3"/>
  <c r="D208" i="3" s="1"/>
  <c r="D204" i="3"/>
  <c r="D207" i="3" s="1"/>
  <c r="D203" i="3"/>
  <c r="D206" i="3" s="1"/>
  <c r="D155" i="3"/>
  <c r="D158" i="3" s="1"/>
  <c r="D154" i="3"/>
  <c r="D157" i="3" s="1"/>
  <c r="D153" i="3"/>
  <c r="D145" i="3"/>
  <c r="D142" i="3"/>
  <c r="D141" i="3"/>
  <c r="D144" i="3" s="1"/>
  <c r="D140" i="3"/>
  <c r="D143" i="3" s="1"/>
  <c r="D123" i="3"/>
  <c r="D126" i="3" s="1"/>
  <c r="D122" i="3"/>
  <c r="D125" i="3" s="1"/>
  <c r="D121" i="3"/>
  <c r="D114" i="3"/>
  <c r="D113" i="3"/>
  <c r="D111" i="3"/>
  <c r="D110" i="3"/>
  <c r="D109" i="3"/>
  <c r="D112" i="3" s="1"/>
  <c r="D102" i="3"/>
  <c r="D99" i="3"/>
  <c r="D98" i="3"/>
  <c r="D101" i="3" s="1"/>
  <c r="D97" i="3"/>
  <c r="D100" i="3" s="1"/>
  <c r="D86" i="3"/>
  <c r="D85" i="3"/>
  <c r="D84" i="3"/>
  <c r="D83" i="3"/>
  <c r="D82" i="3"/>
  <c r="D81" i="3"/>
  <c r="D65" i="3"/>
  <c r="D68" i="3" s="1"/>
  <c r="D64" i="3"/>
  <c r="D67" i="3" s="1"/>
  <c r="D63" i="3"/>
  <c r="D66" i="3" s="1"/>
  <c r="K55" i="3"/>
  <c r="D54" i="3"/>
  <c r="K52" i="3"/>
  <c r="D52" i="3"/>
  <c r="D55" i="3" s="1"/>
  <c r="K51" i="3"/>
  <c r="K54" i="3" s="1"/>
  <c r="D51" i="3"/>
  <c r="K50" i="3"/>
  <c r="K53" i="3" s="1"/>
  <c r="D50" i="3"/>
  <c r="D53" i="3" s="1"/>
  <c r="D27" i="3"/>
  <c r="D26" i="3"/>
  <c r="D29" i="3" s="1"/>
  <c r="D25" i="3"/>
  <c r="D28" i="3" s="1"/>
  <c r="D24" i="3"/>
  <c r="D12" i="3"/>
  <c r="D10" i="3"/>
  <c r="D13" i="3" s="1"/>
  <c r="D9" i="3"/>
  <c r="D8" i="3"/>
  <c r="D11" i="3" s="1"/>
  <c r="D218" i="2"/>
  <c r="D221" i="2" s="1"/>
  <c r="D217" i="2"/>
  <c r="D220" i="2" s="1"/>
  <c r="D216" i="2"/>
  <c r="D219" i="2" s="1"/>
  <c r="D208" i="2"/>
  <c r="D207" i="2"/>
  <c r="D206" i="2"/>
  <c r="D205" i="2"/>
  <c r="D204" i="2"/>
  <c r="D203" i="2"/>
  <c r="D177" i="2"/>
  <c r="D177" i="2" a="1"/>
  <c r="D171" i="2" a="1"/>
  <c r="D171" i="2" s="1"/>
  <c r="D164" i="2" a="1"/>
  <c r="D164" i="2" s="1"/>
  <c r="D155" i="2"/>
  <c r="D158" i="2" s="1"/>
  <c r="D154" i="2"/>
  <c r="D157" i="2" s="1"/>
  <c r="D153" i="2"/>
  <c r="D156" i="2" s="1"/>
  <c r="D145" i="2"/>
  <c r="D144" i="2"/>
  <c r="D143" i="2"/>
  <c r="D142" i="2"/>
  <c r="D141" i="2"/>
  <c r="D140" i="2"/>
  <c r="D131" i="2" a="1"/>
  <c r="D131" i="2" s="1"/>
  <c r="D123" i="2"/>
  <c r="D126" i="2" s="1"/>
  <c r="D122" i="2"/>
  <c r="D125" i="2" s="1"/>
  <c r="D121" i="2"/>
  <c r="D124" i="2" s="1"/>
  <c r="D111" i="2"/>
  <c r="D114" i="2" s="1"/>
  <c r="D110" i="2"/>
  <c r="D113" i="2" s="1"/>
  <c r="D109" i="2"/>
  <c r="D112" i="2" s="1"/>
  <c r="D99" i="2"/>
  <c r="D102" i="2" s="1"/>
  <c r="D98" i="2"/>
  <c r="D101" i="2" s="1"/>
  <c r="D97" i="2"/>
  <c r="D100" i="2" s="1"/>
  <c r="D83" i="2"/>
  <c r="D86" i="2" s="1"/>
  <c r="D82" i="2"/>
  <c r="D85" i="2" s="1"/>
  <c r="D81" i="2"/>
  <c r="D84" i="2" s="1"/>
  <c r="D68" i="2"/>
  <c r="D65" i="2"/>
  <c r="D64" i="2"/>
  <c r="D67" i="2" s="1"/>
  <c r="D63" i="2"/>
  <c r="D66" i="2" s="1"/>
  <c r="K52" i="2"/>
  <c r="K55" i="2" s="1"/>
  <c r="K51" i="2"/>
  <c r="K54" i="2" s="1"/>
  <c r="K50" i="2"/>
  <c r="K53" i="2" s="1"/>
  <c r="D52" i="2"/>
  <c r="D55" i="2" s="1"/>
  <c r="D51" i="2"/>
  <c r="D54" i="2" s="1"/>
  <c r="D50" i="2"/>
  <c r="D53" i="2" s="1"/>
  <c r="D41" i="2"/>
  <c r="D44" i="2" s="1"/>
  <c r="D40" i="2"/>
  <c r="D43" i="2" s="1"/>
  <c r="D39" i="2"/>
  <c r="D42" i="2" s="1"/>
  <c r="D26" i="2"/>
  <c r="D29" i="2" s="1"/>
  <c r="D25" i="2"/>
  <c r="D28" i="2" s="1"/>
  <c r="D24" i="2"/>
  <c r="D27" i="2" s="1"/>
  <c r="M15" i="2"/>
  <c r="M167" i="2" s="1"/>
  <c r="F49" i="2"/>
  <c r="F48" i="2"/>
  <c r="F47" i="2"/>
  <c r="M47" i="2"/>
  <c r="O47" i="2" s="1"/>
  <c r="M55" i="2"/>
  <c r="M54" i="2"/>
  <c r="M53" i="2"/>
  <c r="M50" i="2"/>
  <c r="M49" i="2"/>
  <c r="M48" i="2"/>
  <c r="F55" i="2"/>
  <c r="F54" i="2"/>
  <c r="F53" i="2"/>
  <c r="F52" i="2"/>
  <c r="F51" i="2"/>
  <c r="F50" i="2"/>
  <c r="M52" i="2"/>
  <c r="M51" i="2"/>
  <c r="G47" i="2" a="1"/>
  <c r="G47" i="2" s="1"/>
  <c r="O5" i="2"/>
  <c r="O6" i="2"/>
  <c r="O7" i="2"/>
  <c r="O9" i="2"/>
  <c r="O10" i="2"/>
  <c r="O11" i="2"/>
  <c r="O12" i="2"/>
  <c r="O13" i="2"/>
  <c r="O8" i="2"/>
  <c r="D9" i="2"/>
  <c r="D12" i="2" s="1"/>
  <c r="D10" i="2"/>
  <c r="D13" i="2" s="1"/>
  <c r="D8" i="2"/>
  <c r="D11" i="2" s="1"/>
  <c r="E73" i="9" l="1" a="1"/>
  <c r="E73" i="9" s="1"/>
  <c r="G167" i="9"/>
  <c r="G30" i="9"/>
  <c r="G25" i="9"/>
  <c r="G27" i="9"/>
  <c r="G21" i="9"/>
  <c r="G28" i="9"/>
  <c r="G22" i="9"/>
  <c r="F29" i="9"/>
  <c r="F23" i="9"/>
  <c r="F167" i="9"/>
  <c r="F30" i="9"/>
  <c r="F24" i="9"/>
  <c r="F27" i="9"/>
  <c r="F21" i="9"/>
  <c r="F25" i="9"/>
  <c r="F26" i="9"/>
  <c r="F22" i="9"/>
  <c r="F28" i="9"/>
  <c r="I167" i="9"/>
  <c r="I30" i="9"/>
  <c r="I26" i="9"/>
  <c r="I25" i="9"/>
  <c r="I28" i="9"/>
  <c r="I22" i="9"/>
  <c r="M31" i="9"/>
  <c r="G24" i="9"/>
  <c r="I29" i="9"/>
  <c r="D42" i="9"/>
  <c r="I24" i="9"/>
  <c r="E167" i="9"/>
  <c r="E24" i="9"/>
  <c r="E27" i="9"/>
  <c r="E25" i="9"/>
  <c r="E30" i="9"/>
  <c r="E21" i="9"/>
  <c r="E26" i="9"/>
  <c r="E22" i="9"/>
  <c r="E28" i="9"/>
  <c r="D124" i="9"/>
  <c r="O117" i="9" s="1" a="1"/>
  <c r="I118" i="9" a="1"/>
  <c r="D131" i="9" a="1"/>
  <c r="N47" i="9" a="1"/>
  <c r="E16" i="9" a="1"/>
  <c r="I17" i="9" s="1"/>
  <c r="E29" i="9"/>
  <c r="G26" i="9"/>
  <c r="G29" i="9"/>
  <c r="H31" i="9"/>
  <c r="E23" i="9"/>
  <c r="O14" i="9"/>
  <c r="G23" i="9"/>
  <c r="I27" i="9"/>
  <c r="D157" i="9"/>
  <c r="D171" i="9" s="1" a="1"/>
  <c r="D171" i="9" s="1"/>
  <c r="D164" i="9" a="1"/>
  <c r="J167" i="9"/>
  <c r="J25" i="9"/>
  <c r="J26" i="9"/>
  <c r="L26" i="9"/>
  <c r="L21" i="9"/>
  <c r="L27" i="9"/>
  <c r="K167" i="9"/>
  <c r="K27" i="9"/>
  <c r="G47" i="9"/>
  <c r="M167" i="9"/>
  <c r="M28" i="9"/>
  <c r="J22" i="9"/>
  <c r="J28" i="9"/>
  <c r="K22" i="9"/>
  <c r="K31" i="9" s="1"/>
  <c r="K25" i="9"/>
  <c r="K28" i="9"/>
  <c r="J30" i="9"/>
  <c r="K30" i="9"/>
  <c r="H25" i="9"/>
  <c r="O55" i="8"/>
  <c r="O52" i="8"/>
  <c r="O49" i="8"/>
  <c r="O53" i="8"/>
  <c r="O51" i="8"/>
  <c r="O48" i="8"/>
  <c r="O50" i="8"/>
  <c r="O54" i="8"/>
  <c r="N47" i="8"/>
  <c r="D177" i="8"/>
  <c r="E73" i="8" a="1"/>
  <c r="E73" i="8" s="1"/>
  <c r="K167" i="8"/>
  <c r="K27" i="8"/>
  <c r="K25" i="8"/>
  <c r="K29" i="8"/>
  <c r="K21" i="8"/>
  <c r="K23" i="8"/>
  <c r="K30" i="8"/>
  <c r="K22" i="8"/>
  <c r="K17" i="8"/>
  <c r="K26" i="8"/>
  <c r="K28" i="8"/>
  <c r="D42" i="8"/>
  <c r="E16" i="8" a="1"/>
  <c r="G30" i="8"/>
  <c r="G25" i="8"/>
  <c r="G23" i="8"/>
  <c r="G28" i="8"/>
  <c r="G24" i="8"/>
  <c r="G167" i="8"/>
  <c r="G17" i="8"/>
  <c r="G22" i="8"/>
  <c r="G29" i="8"/>
  <c r="D164" i="8" a="1"/>
  <c r="H167" i="8"/>
  <c r="H17" i="8"/>
  <c r="H24" i="8"/>
  <c r="H21" i="8"/>
  <c r="H28" i="8"/>
  <c r="H29" i="8"/>
  <c r="F31" i="8"/>
  <c r="I26" i="8"/>
  <c r="I21" i="8"/>
  <c r="I167" i="8"/>
  <c r="I28" i="8"/>
  <c r="I29" i="8"/>
  <c r="I24" i="8"/>
  <c r="I27" i="8"/>
  <c r="I25" i="8"/>
  <c r="G21" i="8"/>
  <c r="G47" i="8"/>
  <c r="J167" i="8"/>
  <c r="J24" i="8"/>
  <c r="J29" i="8"/>
  <c r="J21" i="8"/>
  <c r="J25" i="8"/>
  <c r="J27" i="8"/>
  <c r="G26" i="8"/>
  <c r="J28" i="8"/>
  <c r="O14" i="8"/>
  <c r="L22" i="8"/>
  <c r="L29" i="8"/>
  <c r="L21" i="8"/>
  <c r="L25" i="8"/>
  <c r="D125" i="8"/>
  <c r="I118" i="8" s="1" a="1"/>
  <c r="O117" i="8" a="1"/>
  <c r="M28" i="8"/>
  <c r="M25" i="8"/>
  <c r="M26" i="8"/>
  <c r="M22" i="8"/>
  <c r="L23" i="8"/>
  <c r="M23" i="8"/>
  <c r="L27" i="8"/>
  <c r="F30" i="8"/>
  <c r="F17" i="8"/>
  <c r="F27" i="8"/>
  <c r="E24" i="8"/>
  <c r="E73" i="7" a="1"/>
  <c r="E73" i="7" s="1"/>
  <c r="H31" i="7"/>
  <c r="D156" i="7"/>
  <c r="D164" i="7" s="1" a="1"/>
  <c r="K28" i="7"/>
  <c r="K30" i="7"/>
  <c r="K27" i="7"/>
  <c r="K24" i="7"/>
  <c r="K21" i="7"/>
  <c r="K22" i="7"/>
  <c r="K26" i="7"/>
  <c r="K167" i="7"/>
  <c r="L167" i="7"/>
  <c r="L29" i="7"/>
  <c r="L23" i="7"/>
  <c r="L27" i="7"/>
  <c r="L24" i="7"/>
  <c r="L21" i="7"/>
  <c r="L28" i="7"/>
  <c r="L25" i="7"/>
  <c r="L22" i="7"/>
  <c r="L26" i="7"/>
  <c r="L30" i="7"/>
  <c r="K25" i="7"/>
  <c r="G167" i="7"/>
  <c r="G26" i="7"/>
  <c r="G21" i="7"/>
  <c r="G23" i="7"/>
  <c r="G27" i="7"/>
  <c r="G17" i="7"/>
  <c r="G30" i="7"/>
  <c r="M26" i="7"/>
  <c r="M30" i="7"/>
  <c r="D44" i="7"/>
  <c r="E36" i="7" s="1" a="1"/>
  <c r="G25" i="7"/>
  <c r="G29" i="7"/>
  <c r="O14" i="7"/>
  <c r="I27" i="7"/>
  <c r="I23" i="7"/>
  <c r="I30" i="7"/>
  <c r="I24" i="7"/>
  <c r="N47" i="7" a="1"/>
  <c r="M29" i="7"/>
  <c r="M23" i="7"/>
  <c r="M24" i="7"/>
  <c r="M167" i="7"/>
  <c r="M28" i="7"/>
  <c r="M25" i="7"/>
  <c r="E16" i="7" a="1"/>
  <c r="J17" i="7" s="1"/>
  <c r="J22" i="7"/>
  <c r="J28" i="7"/>
  <c r="J30" i="7"/>
  <c r="J27" i="7"/>
  <c r="J24" i="7"/>
  <c r="J21" i="7"/>
  <c r="I118" i="7" a="1"/>
  <c r="D131" i="7" a="1"/>
  <c r="O117" i="7" a="1"/>
  <c r="O117" i="7" s="1"/>
  <c r="E167" i="7"/>
  <c r="E25" i="7"/>
  <c r="F167" i="7"/>
  <c r="F26" i="7"/>
  <c r="H17" i="7"/>
  <c r="E22" i="7"/>
  <c r="H26" i="7"/>
  <c r="D177" i="6" a="1"/>
  <c r="I118" i="6" a="1"/>
  <c r="E73" i="6" a="1"/>
  <c r="E73" i="6" s="1"/>
  <c r="D171" i="6" a="1"/>
  <c r="D171" i="6" s="1"/>
  <c r="D220" i="6"/>
  <c r="D131" i="6" a="1"/>
  <c r="D177" i="5"/>
  <c r="D171" i="5" a="1"/>
  <c r="D171" i="5" s="1"/>
  <c r="D125" i="5"/>
  <c r="I118" i="5" s="1" a="1"/>
  <c r="D220" i="5"/>
  <c r="D124" i="4"/>
  <c r="D131" i="4" s="1" a="1"/>
  <c r="I118" i="4" a="1"/>
  <c r="D156" i="4"/>
  <c r="D171" i="4" s="1" a="1"/>
  <c r="D171" i="4" s="1"/>
  <c r="D177" i="4" a="1"/>
  <c r="D156" i="3"/>
  <c r="D171" i="3" s="1" a="1"/>
  <c r="D171" i="3" s="1"/>
  <c r="I118" i="3" a="1"/>
  <c r="D124" i="3"/>
  <c r="D131" i="3" s="1" a="1"/>
  <c r="E73" i="3" a="1"/>
  <c r="E73" i="3" s="1"/>
  <c r="E164" i="2"/>
  <c r="E171" i="2" s="1"/>
  <c r="I166" i="2"/>
  <c r="H164" i="2"/>
  <c r="J166" i="2"/>
  <c r="I164" i="2"/>
  <c r="K166" i="2"/>
  <c r="J164" i="2"/>
  <c r="E165" i="2"/>
  <c r="F165" i="2"/>
  <c r="G165" i="2"/>
  <c r="H165" i="2"/>
  <c r="K165" i="2"/>
  <c r="L165" i="2"/>
  <c r="M165" i="2"/>
  <c r="H166" i="2"/>
  <c r="K164" i="2"/>
  <c r="E166" i="2"/>
  <c r="L164" i="2"/>
  <c r="F166" i="2"/>
  <c r="M164" i="2"/>
  <c r="G166" i="2"/>
  <c r="F164" i="2"/>
  <c r="I165" i="2"/>
  <c r="L166" i="2"/>
  <c r="G164" i="2"/>
  <c r="J165" i="2"/>
  <c r="M166" i="2"/>
  <c r="I118" i="2" a="1"/>
  <c r="H47" i="2"/>
  <c r="H50" i="2"/>
  <c r="G56" i="2"/>
  <c r="H51" i="2"/>
  <c r="E73" i="2" a="1"/>
  <c r="E73" i="2" s="1"/>
  <c r="N47" i="2" a="1"/>
  <c r="N47" i="2" s="1"/>
  <c r="H54" i="2"/>
  <c r="H53" i="2"/>
  <c r="H49" i="2"/>
  <c r="H48" i="2"/>
  <c r="H55" i="2"/>
  <c r="H52" i="2"/>
  <c r="E16" i="2" a="1"/>
  <c r="E16" i="2" s="1"/>
  <c r="H15" i="2"/>
  <c r="H167" i="2" s="1"/>
  <c r="G15" i="2"/>
  <c r="G167" i="2" s="1"/>
  <c r="F15" i="2"/>
  <c r="F167" i="2" s="1"/>
  <c r="E15" i="2"/>
  <c r="E167" i="2" s="1"/>
  <c r="J15" i="2"/>
  <c r="J167" i="2" s="1"/>
  <c r="L15" i="2"/>
  <c r="L167" i="2" s="1"/>
  <c r="I15" i="2"/>
  <c r="I167" i="2" s="1"/>
  <c r="K15" i="2"/>
  <c r="K167" i="2" s="1"/>
  <c r="D131" i="9" l="1"/>
  <c r="K166" i="9"/>
  <c r="K173" i="9" s="1"/>
  <c r="H165" i="9"/>
  <c r="H172" i="9" s="1"/>
  <c r="J166" i="9"/>
  <c r="J173" i="9" s="1"/>
  <c r="G165" i="9"/>
  <c r="G172" i="9" s="1"/>
  <c r="D164" i="9"/>
  <c r="H166" i="9"/>
  <c r="H173" i="9" s="1"/>
  <c r="E165" i="9"/>
  <c r="E172" i="9" s="1"/>
  <c r="M165" i="9"/>
  <c r="M172" i="9" s="1"/>
  <c r="L165" i="9"/>
  <c r="L172" i="9" s="1"/>
  <c r="J165" i="9"/>
  <c r="J172" i="9" s="1"/>
  <c r="I165" i="9"/>
  <c r="I172" i="9" s="1"/>
  <c r="M166" i="9"/>
  <c r="M173" i="9" s="1"/>
  <c r="L166" i="9"/>
  <c r="L173" i="9" s="1"/>
  <c r="G166" i="9"/>
  <c r="G173" i="9" s="1"/>
  <c r="I166" i="9"/>
  <c r="I173" i="9" s="1"/>
  <c r="E166" i="9"/>
  <c r="E173" i="9" s="1"/>
  <c r="K165" i="9"/>
  <c r="K172" i="9" s="1"/>
  <c r="F165" i="9"/>
  <c r="F172" i="9" s="1"/>
  <c r="F166" i="9"/>
  <c r="F173" i="9" s="1"/>
  <c r="D177" i="9" a="1"/>
  <c r="G17" i="9"/>
  <c r="E31" i="9"/>
  <c r="P5" i="9" a="1"/>
  <c r="G31" i="9"/>
  <c r="E16" i="9"/>
  <c r="E17" i="9" s="1"/>
  <c r="L17" i="9"/>
  <c r="M17" i="9"/>
  <c r="H17" i="9"/>
  <c r="J17" i="9"/>
  <c r="K17" i="9"/>
  <c r="O54" i="9"/>
  <c r="O51" i="9"/>
  <c r="O55" i="9"/>
  <c r="O52" i="9"/>
  <c r="O49" i="9"/>
  <c r="O53" i="9"/>
  <c r="O50" i="9"/>
  <c r="N47" i="9"/>
  <c r="O48" i="9"/>
  <c r="F31" i="9"/>
  <c r="O117" i="9"/>
  <c r="I31" i="9"/>
  <c r="I118" i="9"/>
  <c r="G56" i="9"/>
  <c r="E36" i="9" a="1"/>
  <c r="L31" i="9"/>
  <c r="F17" i="9"/>
  <c r="J31" i="9"/>
  <c r="L31" i="8"/>
  <c r="G31" i="8"/>
  <c r="E36" i="8" a="1"/>
  <c r="H31" i="8"/>
  <c r="O47" i="8"/>
  <c r="N56" i="8"/>
  <c r="G56" i="8"/>
  <c r="M31" i="8"/>
  <c r="O117" i="8"/>
  <c r="I118" i="8"/>
  <c r="K165" i="8"/>
  <c r="K172" i="8" s="1"/>
  <c r="M166" i="8"/>
  <c r="M173" i="8" s="1"/>
  <c r="J165" i="8"/>
  <c r="J172" i="8" s="1"/>
  <c r="F166" i="8"/>
  <c r="F173" i="8" s="1"/>
  <c r="E166" i="8"/>
  <c r="E173" i="8" s="1"/>
  <c r="L165" i="8"/>
  <c r="L172" i="8" s="1"/>
  <c r="G165" i="8"/>
  <c r="G172" i="8" s="1"/>
  <c r="L166" i="8"/>
  <c r="L173" i="8" s="1"/>
  <c r="F165" i="8"/>
  <c r="F172" i="8" s="1"/>
  <c r="E165" i="8"/>
  <c r="E172" i="8" s="1"/>
  <c r="K166" i="8"/>
  <c r="K173" i="8" s="1"/>
  <c r="J166" i="8"/>
  <c r="J173" i="8" s="1"/>
  <c r="I166" i="8"/>
  <c r="I173" i="8" s="1"/>
  <c r="H166" i="8"/>
  <c r="H173" i="8" s="1"/>
  <c r="G166" i="8"/>
  <c r="G173" i="8" s="1"/>
  <c r="M165" i="8"/>
  <c r="M172" i="8" s="1"/>
  <c r="I165" i="8"/>
  <c r="I172" i="8" s="1"/>
  <c r="H165" i="8"/>
  <c r="H172" i="8" s="1"/>
  <c r="D164" i="8"/>
  <c r="D131" i="8" a="1"/>
  <c r="I31" i="8"/>
  <c r="E16" i="8"/>
  <c r="E17" i="8" s="1"/>
  <c r="M17" i="8"/>
  <c r="L17" i="8"/>
  <c r="J17" i="8"/>
  <c r="I17" i="8"/>
  <c r="K31" i="8"/>
  <c r="P5" i="8" a="1"/>
  <c r="E31" i="8"/>
  <c r="J31" i="8"/>
  <c r="C188" i="2" a="1"/>
  <c r="C188" i="2" s="1"/>
  <c r="M166" i="7"/>
  <c r="M173" i="7" s="1"/>
  <c r="J165" i="7"/>
  <c r="J172" i="7" s="1"/>
  <c r="L166" i="7"/>
  <c r="L173" i="7" s="1"/>
  <c r="I165" i="7"/>
  <c r="I172" i="7" s="1"/>
  <c r="I166" i="7"/>
  <c r="I173" i="7" s="1"/>
  <c r="F165" i="7"/>
  <c r="F172" i="7" s="1"/>
  <c r="H165" i="7"/>
  <c r="H172" i="7" s="1"/>
  <c r="G165" i="7"/>
  <c r="G172" i="7" s="1"/>
  <c r="E165" i="7"/>
  <c r="E172" i="7" s="1"/>
  <c r="K166" i="7"/>
  <c r="K173" i="7" s="1"/>
  <c r="F166" i="7"/>
  <c r="F173" i="7" s="1"/>
  <c r="E166" i="7"/>
  <c r="E173" i="7" s="1"/>
  <c r="M165" i="7"/>
  <c r="M172" i="7" s="1"/>
  <c r="L165" i="7"/>
  <c r="L172" i="7" s="1"/>
  <c r="K165" i="7"/>
  <c r="K172" i="7" s="1"/>
  <c r="J166" i="7"/>
  <c r="J173" i="7" s="1"/>
  <c r="H166" i="7"/>
  <c r="H173" i="7" s="1"/>
  <c r="D164" i="7"/>
  <c r="G166" i="7"/>
  <c r="G173" i="7" s="1"/>
  <c r="E36" i="7"/>
  <c r="N36" i="7" s="1" a="1"/>
  <c r="N36" i="7" s="1"/>
  <c r="J31" i="7"/>
  <c r="D171" i="7" a="1"/>
  <c r="D171" i="7" s="1"/>
  <c r="M17" i="7"/>
  <c r="L17" i="7"/>
  <c r="K17" i="7"/>
  <c r="E31" i="7"/>
  <c r="N47" i="7"/>
  <c r="O54" i="7"/>
  <c r="O49" i="7"/>
  <c r="O51" i="7"/>
  <c r="O48" i="7"/>
  <c r="O50" i="7"/>
  <c r="O52" i="7"/>
  <c r="O55" i="7"/>
  <c r="O53" i="7"/>
  <c r="I31" i="7"/>
  <c r="P5" i="7" a="1"/>
  <c r="G31" i="7"/>
  <c r="G56" i="7"/>
  <c r="D131" i="7"/>
  <c r="K31" i="7"/>
  <c r="D177" i="7" a="1"/>
  <c r="I118" i="7"/>
  <c r="F31" i="7"/>
  <c r="M31" i="7"/>
  <c r="L31" i="7"/>
  <c r="E16" i="7"/>
  <c r="E17" i="7" s="1"/>
  <c r="F17" i="7"/>
  <c r="I17" i="7"/>
  <c r="I118" i="6"/>
  <c r="D131" i="6"/>
  <c r="D177" i="6"/>
  <c r="I118" i="5"/>
  <c r="D131" i="5" a="1"/>
  <c r="D131" i="4"/>
  <c r="I118" i="4"/>
  <c r="D177" i="4"/>
  <c r="G56" i="3"/>
  <c r="D131" i="3"/>
  <c r="D177" i="3" a="1"/>
  <c r="I118" i="3"/>
  <c r="I173" i="2"/>
  <c r="H172" i="2"/>
  <c r="H171" i="2"/>
  <c r="F172" i="2"/>
  <c r="M172" i="2"/>
  <c r="M171" i="2"/>
  <c r="L172" i="2"/>
  <c r="L171" i="2"/>
  <c r="E173" i="2"/>
  <c r="K171" i="2"/>
  <c r="E172" i="2"/>
  <c r="G172" i="2"/>
  <c r="I118" i="2"/>
  <c r="O54" i="2"/>
  <c r="O55" i="2"/>
  <c r="O48" i="2"/>
  <c r="O51" i="2"/>
  <c r="O50" i="2"/>
  <c r="O53" i="2"/>
  <c r="O49" i="2"/>
  <c r="O52" i="2"/>
  <c r="H56" i="2"/>
  <c r="H57" i="2" s="1"/>
  <c r="I28" i="2"/>
  <c r="I24" i="2"/>
  <c r="I23" i="2"/>
  <c r="I29" i="2"/>
  <c r="I25" i="2"/>
  <c r="I21" i="2"/>
  <c r="I27" i="2"/>
  <c r="I30" i="2"/>
  <c r="I26" i="2"/>
  <c r="I22" i="2"/>
  <c r="L29" i="2"/>
  <c r="L25" i="2"/>
  <c r="L21" i="2"/>
  <c r="L30" i="2"/>
  <c r="L26" i="2"/>
  <c r="L22" i="2"/>
  <c r="L27" i="2"/>
  <c r="L23" i="2"/>
  <c r="L28" i="2"/>
  <c r="L24" i="2"/>
  <c r="J29" i="2"/>
  <c r="J25" i="2"/>
  <c r="J21" i="2"/>
  <c r="J30" i="2"/>
  <c r="J26" i="2"/>
  <c r="J22" i="2"/>
  <c r="J27" i="2"/>
  <c r="J23" i="2"/>
  <c r="J28" i="2"/>
  <c r="J24" i="2"/>
  <c r="M30" i="2"/>
  <c r="M26" i="2"/>
  <c r="M22" i="2"/>
  <c r="M27" i="2"/>
  <c r="M23" i="2"/>
  <c r="M28" i="2"/>
  <c r="M24" i="2"/>
  <c r="M29" i="2"/>
  <c r="M25" i="2"/>
  <c r="M21" i="2"/>
  <c r="F27" i="2"/>
  <c r="F23" i="2"/>
  <c r="F30" i="2"/>
  <c r="F26" i="2"/>
  <c r="F28" i="2"/>
  <c r="F24" i="2"/>
  <c r="F22" i="2"/>
  <c r="F29" i="2"/>
  <c r="F25" i="2"/>
  <c r="F21" i="2"/>
  <c r="E27" i="2"/>
  <c r="E23" i="2"/>
  <c r="E30" i="2"/>
  <c r="E22" i="2"/>
  <c r="E28" i="2"/>
  <c r="E24" i="2"/>
  <c r="E29" i="2"/>
  <c r="E25" i="2"/>
  <c r="E21" i="2"/>
  <c r="E26" i="2"/>
  <c r="G28" i="2"/>
  <c r="G24" i="2"/>
  <c r="G29" i="2"/>
  <c r="G25" i="2"/>
  <c r="G21" i="2"/>
  <c r="G30" i="2"/>
  <c r="G26" i="2"/>
  <c r="G22" i="2"/>
  <c r="G27" i="2"/>
  <c r="G23" i="2"/>
  <c r="H28" i="2"/>
  <c r="H24" i="2"/>
  <c r="H27" i="2"/>
  <c r="H29" i="2"/>
  <c r="H25" i="2"/>
  <c r="H21" i="2"/>
  <c r="H30" i="2"/>
  <c r="H26" i="2"/>
  <c r="H22" i="2"/>
  <c r="H23" i="2"/>
  <c r="K29" i="2"/>
  <c r="K25" i="2"/>
  <c r="K21" i="2"/>
  <c r="K24" i="2"/>
  <c r="K30" i="2"/>
  <c r="K26" i="2"/>
  <c r="K22" i="2"/>
  <c r="K27" i="2"/>
  <c r="K23" i="2"/>
  <c r="K28" i="2"/>
  <c r="N56" i="2"/>
  <c r="F17" i="2"/>
  <c r="G17" i="2"/>
  <c r="H17" i="2"/>
  <c r="K17" i="2"/>
  <c r="I17" i="2"/>
  <c r="L17" i="2"/>
  <c r="M17" i="2"/>
  <c r="J17" i="2"/>
  <c r="E17" i="2"/>
  <c r="D177" i="9" l="1"/>
  <c r="E164" i="9"/>
  <c r="E171" i="9" s="1"/>
  <c r="G164" i="9"/>
  <c r="G171" i="9" s="1"/>
  <c r="F164" i="9"/>
  <c r="F171" i="9" s="1"/>
  <c r="K164" i="9"/>
  <c r="K171" i="9" s="1"/>
  <c r="J164" i="9"/>
  <c r="J171" i="9" s="1"/>
  <c r="I164" i="9"/>
  <c r="I171" i="9" s="1"/>
  <c r="H164" i="9"/>
  <c r="H171" i="9" s="1"/>
  <c r="M164" i="9"/>
  <c r="M171" i="9" s="1"/>
  <c r="L164" i="9"/>
  <c r="L171" i="9" s="1"/>
  <c r="N56" i="9"/>
  <c r="O47" i="9"/>
  <c r="Q13" i="9"/>
  <c r="R13" i="9" s="1"/>
  <c r="Q10" i="9"/>
  <c r="R10" i="9" s="1"/>
  <c r="Q7" i="9"/>
  <c r="R7" i="9" s="1"/>
  <c r="Q6" i="9"/>
  <c r="R6" i="9" s="1"/>
  <c r="Q12" i="9"/>
  <c r="R12" i="9" s="1"/>
  <c r="Q8" i="9"/>
  <c r="R8" i="9" s="1"/>
  <c r="Q11" i="9"/>
  <c r="R11" i="9" s="1"/>
  <c r="P5" i="9"/>
  <c r="Q5" i="9" s="1"/>
  <c r="R5" i="9" s="1"/>
  <c r="Q9" i="9"/>
  <c r="R9" i="9" s="1"/>
  <c r="E36" i="9"/>
  <c r="N36" i="9" s="1" a="1"/>
  <c r="N36" i="9" s="1"/>
  <c r="P5" i="8"/>
  <c r="Q5" i="8" s="1"/>
  <c r="R5" i="8" s="1"/>
  <c r="Q11" i="8"/>
  <c r="R11" i="8" s="1"/>
  <c r="Q8" i="8"/>
  <c r="R8" i="8" s="1"/>
  <c r="Q13" i="8"/>
  <c r="R13" i="8" s="1"/>
  <c r="Q9" i="8"/>
  <c r="R9" i="8" s="1"/>
  <c r="Q6" i="8"/>
  <c r="R6" i="8" s="1"/>
  <c r="Q10" i="8"/>
  <c r="R10" i="8" s="1"/>
  <c r="Q7" i="8"/>
  <c r="R7" i="8" s="1"/>
  <c r="Q12" i="8"/>
  <c r="R12" i="8" s="1"/>
  <c r="F59" i="8" a="1"/>
  <c r="O56" i="8"/>
  <c r="O57" i="8" s="1"/>
  <c r="D131" i="8"/>
  <c r="E36" i="8"/>
  <c r="H164" i="8"/>
  <c r="H171" i="8" s="1"/>
  <c r="G164" i="8"/>
  <c r="G171" i="8" s="1"/>
  <c r="J164" i="8"/>
  <c r="J171" i="8" s="1"/>
  <c r="I164" i="8"/>
  <c r="I171" i="8" s="1"/>
  <c r="E164" i="8"/>
  <c r="E171" i="8" s="1"/>
  <c r="M164" i="8"/>
  <c r="M171" i="8" s="1"/>
  <c r="L164" i="8"/>
  <c r="L171" i="8" s="1"/>
  <c r="K164" i="8"/>
  <c r="K171" i="8" s="1"/>
  <c r="F164" i="8"/>
  <c r="F171" i="8" s="1"/>
  <c r="Q8" i="7"/>
  <c r="R8" i="7" s="1"/>
  <c r="Q11" i="7"/>
  <c r="R11" i="7" s="1"/>
  <c r="Q12" i="7"/>
  <c r="R12" i="7" s="1"/>
  <c r="Q6" i="7"/>
  <c r="R6" i="7" s="1"/>
  <c r="Q7" i="7"/>
  <c r="R7" i="7" s="1"/>
  <c r="Q10" i="7"/>
  <c r="R10" i="7" s="1"/>
  <c r="Q13" i="7"/>
  <c r="R13" i="7" s="1"/>
  <c r="Q9" i="7"/>
  <c r="R9" i="7" s="1"/>
  <c r="P5" i="7"/>
  <c r="Q5" i="7" s="1"/>
  <c r="R5" i="7" s="1"/>
  <c r="G164" i="7"/>
  <c r="G171" i="7" s="1"/>
  <c r="F164" i="7"/>
  <c r="F171" i="7" s="1"/>
  <c r="M164" i="7"/>
  <c r="M171" i="7" s="1"/>
  <c r="H164" i="7"/>
  <c r="H171" i="7" s="1"/>
  <c r="L164" i="7"/>
  <c r="L171" i="7" s="1"/>
  <c r="K164" i="7"/>
  <c r="K171" i="7" s="1"/>
  <c r="J164" i="7"/>
  <c r="J171" i="7" s="1"/>
  <c r="I164" i="7"/>
  <c r="I171" i="7" s="1"/>
  <c r="E164" i="7"/>
  <c r="E171" i="7" s="1"/>
  <c r="D177" i="7"/>
  <c r="O47" i="7"/>
  <c r="F59" i="7" s="1" a="1"/>
  <c r="F59" i="7" s="1"/>
  <c r="N56" i="7"/>
  <c r="D131" i="5"/>
  <c r="D177" i="3"/>
  <c r="I172" i="2"/>
  <c r="L173" i="2"/>
  <c r="G173" i="2"/>
  <c r="G171" i="2"/>
  <c r="I171" i="2"/>
  <c r="H173" i="2"/>
  <c r="M173" i="2"/>
  <c r="F173" i="2"/>
  <c r="J171" i="2"/>
  <c r="J173" i="2"/>
  <c r="J172" i="2"/>
  <c r="F171" i="2"/>
  <c r="K172" i="2"/>
  <c r="K173" i="2"/>
  <c r="I31" i="2"/>
  <c r="E31" i="2"/>
  <c r="J31" i="2"/>
  <c r="G31" i="2"/>
  <c r="H31" i="2"/>
  <c r="M31" i="2"/>
  <c r="F31" i="2"/>
  <c r="K31" i="2"/>
  <c r="O56" i="2"/>
  <c r="P56" i="2" s="1"/>
  <c r="F59" i="2" a="1"/>
  <c r="L31" i="2"/>
  <c r="O56" i="9" l="1"/>
  <c r="O57" i="9" s="1"/>
  <c r="F59" i="9" a="1"/>
  <c r="F59" i="8"/>
  <c r="N36" i="8" a="1"/>
  <c r="N36" i="8" s="1"/>
  <c r="O56" i="7"/>
  <c r="O57" i="7" s="1"/>
  <c r="O57" i="2"/>
  <c r="E60" i="2" a="1"/>
  <c r="G63" i="2" s="1"/>
  <c r="N36" i="2" a="1"/>
  <c r="N36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F59" i="2"/>
  <c r="F59" i="9" l="1"/>
  <c r="G65" i="2"/>
  <c r="G61" i="2"/>
  <c r="G66" i="2"/>
  <c r="G62" i="2"/>
  <c r="G64" i="2"/>
  <c r="G67" i="2"/>
  <c r="G68" i="2"/>
  <c r="Q5" i="2"/>
  <c r="R5" i="2" s="1"/>
  <c r="E60" i="2"/>
  <c r="G60" i="2" s="1"/>
  <c r="I72" i="2" l="1" a="1"/>
  <c r="I72" i="2" s="1"/>
  <c r="I74" i="2" s="1"/>
  <c r="D88" i="2" a="1"/>
  <c r="O88" i="2" s="1"/>
  <c r="L72" i="2" a="1"/>
  <c r="L72" i="2" s="1"/>
  <c r="L74" i="2" s="1"/>
  <c r="J102" i="2" l="1"/>
  <c r="G101" i="2"/>
  <c r="M99" i="2"/>
  <c r="J98" i="2"/>
  <c r="G97" i="2"/>
  <c r="M95" i="2"/>
  <c r="J94" i="2"/>
  <c r="E101" i="2"/>
  <c r="I102" i="2"/>
  <c r="F101" i="2"/>
  <c r="L99" i="2"/>
  <c r="I98" i="2"/>
  <c r="F97" i="2"/>
  <c r="L95" i="2"/>
  <c r="I94" i="2"/>
  <c r="H102" i="2"/>
  <c r="K99" i="2"/>
  <c r="H98" i="2"/>
  <c r="E97" i="2"/>
  <c r="K95" i="2"/>
  <c r="H94" i="2"/>
  <c r="F102" i="2"/>
  <c r="L100" i="2"/>
  <c r="I99" i="2"/>
  <c r="F98" i="2"/>
  <c r="L96" i="2"/>
  <c r="I95" i="2"/>
  <c r="F94" i="2"/>
  <c r="E102" i="2"/>
  <c r="K100" i="2"/>
  <c r="H99" i="2"/>
  <c r="E98" i="2"/>
  <c r="K96" i="2"/>
  <c r="H95" i="2"/>
  <c r="E94" i="2"/>
  <c r="M101" i="2"/>
  <c r="J100" i="2"/>
  <c r="G99" i="2"/>
  <c r="M97" i="2"/>
  <c r="J96" i="2"/>
  <c r="G95" i="2"/>
  <c r="L101" i="2"/>
  <c r="I100" i="2"/>
  <c r="F99" i="2"/>
  <c r="L97" i="2"/>
  <c r="I96" i="2"/>
  <c r="F95" i="2"/>
  <c r="G102" i="2"/>
  <c r="M100" i="2"/>
  <c r="J99" i="2"/>
  <c r="G98" i="2"/>
  <c r="M96" i="2"/>
  <c r="J95" i="2"/>
  <c r="G94" i="2"/>
  <c r="I101" i="2"/>
  <c r="I97" i="2"/>
  <c r="H101" i="2"/>
  <c r="H97" i="2"/>
  <c r="H100" i="2"/>
  <c r="H96" i="2"/>
  <c r="F100" i="2"/>
  <c r="F96" i="2"/>
  <c r="E100" i="2"/>
  <c r="E96" i="2"/>
  <c r="E99" i="2"/>
  <c r="E95" i="2"/>
  <c r="M102" i="2"/>
  <c r="M98" i="2"/>
  <c r="M94" i="2"/>
  <c r="L94" i="2"/>
  <c r="K102" i="2"/>
  <c r="K98" i="2"/>
  <c r="K94" i="2"/>
  <c r="K101" i="2"/>
  <c r="J101" i="2"/>
  <c r="J97" i="2"/>
  <c r="G100" i="2"/>
  <c r="G96" i="2"/>
  <c r="L102" i="2"/>
  <c r="L98" i="2"/>
  <c r="K97" i="2"/>
  <c r="E90" i="2"/>
  <c r="F72" i="2" a="1"/>
  <c r="F72" i="2" s="1"/>
  <c r="F74" i="2" s="1"/>
  <c r="M72" i="2" a="1"/>
  <c r="M72" i="2" s="1"/>
  <c r="M74" i="2" s="1"/>
  <c r="J72" i="2" a="1"/>
  <c r="J72" i="2" s="1"/>
  <c r="J74" i="2" s="1"/>
  <c r="D88" i="2"/>
  <c r="L90" i="2"/>
  <c r="M90" i="2"/>
  <c r="F90" i="2"/>
  <c r="G90" i="2"/>
  <c r="K72" i="2" a="1"/>
  <c r="K72" i="2" s="1"/>
  <c r="K74" i="2" s="1"/>
  <c r="H72" i="2" a="1"/>
  <c r="H72" i="2" s="1"/>
  <c r="H74" i="2" s="1"/>
  <c r="E72" i="2" a="1"/>
  <c r="E72" i="2" s="1"/>
  <c r="E74" i="2" s="1"/>
  <c r="J90" i="2"/>
  <c r="G72" i="2" a="1"/>
  <c r="G72" i="2" s="1"/>
  <c r="G74" i="2" s="1"/>
  <c r="H90" i="2"/>
  <c r="I90" i="2"/>
  <c r="K90" i="2"/>
  <c r="N90" i="2" l="1"/>
  <c r="B78" i="2" a="1"/>
  <c r="N103" i="2" l="1"/>
  <c r="K85" i="2"/>
  <c r="H84" i="2"/>
  <c r="E83" i="2"/>
  <c r="K81" i="2"/>
  <c r="H80" i="2"/>
  <c r="E79" i="2"/>
  <c r="J83" i="2"/>
  <c r="F86" i="2"/>
  <c r="L80" i="2"/>
  <c r="M86" i="2"/>
  <c r="J85" i="2"/>
  <c r="G84" i="2"/>
  <c r="M82" i="2"/>
  <c r="J81" i="2"/>
  <c r="G80" i="2"/>
  <c r="K86" i="2"/>
  <c r="H81" i="2"/>
  <c r="J86" i="2"/>
  <c r="G85" i="2"/>
  <c r="M83" i="2"/>
  <c r="J82" i="2"/>
  <c r="G81" i="2"/>
  <c r="M79" i="2"/>
  <c r="I86" i="2"/>
  <c r="F85" i="2"/>
  <c r="L83" i="2"/>
  <c r="I82" i="2"/>
  <c r="F81" i="2"/>
  <c r="L79" i="2"/>
  <c r="H86" i="2"/>
  <c r="E85" i="2"/>
  <c r="K83" i="2"/>
  <c r="H82" i="2"/>
  <c r="K79" i="2"/>
  <c r="E86" i="2"/>
  <c r="K84" i="2"/>
  <c r="H83" i="2"/>
  <c r="E82" i="2"/>
  <c r="K80" i="2"/>
  <c r="H79" i="2"/>
  <c r="M85" i="2"/>
  <c r="J84" i="2"/>
  <c r="G83" i="2"/>
  <c r="M81" i="2"/>
  <c r="J80" i="2"/>
  <c r="G79" i="2"/>
  <c r="L86" i="2"/>
  <c r="I85" i="2"/>
  <c r="F84" i="2"/>
  <c r="L82" i="2"/>
  <c r="I81" i="2"/>
  <c r="F80" i="2"/>
  <c r="H85" i="2"/>
  <c r="E84" i="2"/>
  <c r="K82" i="2"/>
  <c r="E80" i="2"/>
  <c r="E81" i="2"/>
  <c r="G86" i="2"/>
  <c r="M84" i="2"/>
  <c r="G82" i="2"/>
  <c r="M80" i="2"/>
  <c r="J79" i="2"/>
  <c r="L84" i="2"/>
  <c r="I83" i="2"/>
  <c r="F82" i="2"/>
  <c r="I79" i="2"/>
  <c r="L85" i="2"/>
  <c r="I84" i="2"/>
  <c r="F83" i="2"/>
  <c r="L81" i="2"/>
  <c r="I80" i="2"/>
  <c r="F79" i="2"/>
  <c r="F113" i="2"/>
  <c r="B78" i="2"/>
  <c r="F107" i="2" l="1"/>
  <c r="G110" i="2"/>
  <c r="I113" i="2"/>
  <c r="K112" i="2"/>
  <c r="I114" i="2"/>
  <c r="G112" i="2"/>
  <c r="I108" i="2"/>
  <c r="M112" i="2"/>
  <c r="L114" i="2"/>
  <c r="E114" i="2"/>
  <c r="M107" i="2"/>
  <c r="M132" i="2" s="1"/>
  <c r="J113" i="2"/>
  <c r="L109" i="2"/>
  <c r="G114" i="2"/>
  <c r="G107" i="2"/>
  <c r="K107" i="2"/>
  <c r="G109" i="2"/>
  <c r="M114" i="2"/>
  <c r="F111" i="2"/>
  <c r="E109" i="2"/>
  <c r="J108" i="2"/>
  <c r="H110" i="2"/>
  <c r="J110" i="2"/>
  <c r="L108" i="2"/>
  <c r="I112" i="2"/>
  <c r="E108" i="2"/>
  <c r="M109" i="2"/>
  <c r="K111" i="2"/>
  <c r="M111" i="2"/>
  <c r="F114" i="2"/>
  <c r="L113" i="2"/>
  <c r="K110" i="2"/>
  <c r="G111" i="2"/>
  <c r="E113" i="2"/>
  <c r="G113" i="2"/>
  <c r="G132" i="2" s="1"/>
  <c r="J111" i="2"/>
  <c r="I107" i="2"/>
  <c r="E112" i="2"/>
  <c r="J112" i="2"/>
  <c r="H114" i="2"/>
  <c r="J114" i="2"/>
  <c r="E107" i="2"/>
  <c r="F110" i="2"/>
  <c r="H113" i="2"/>
  <c r="M113" i="2"/>
  <c r="L107" i="2"/>
  <c r="L132" i="2" s="1"/>
  <c r="H109" i="2"/>
  <c r="H108" i="2"/>
  <c r="I111" i="2"/>
  <c r="F108" i="2"/>
  <c r="H107" i="2"/>
  <c r="F109" i="2"/>
  <c r="K114" i="2"/>
  <c r="K109" i="2"/>
  <c r="L112" i="2"/>
  <c r="I109" i="2"/>
  <c r="K108" i="2"/>
  <c r="I110" i="2"/>
  <c r="G108" i="2"/>
  <c r="G133" i="2" s="1"/>
  <c r="E111" i="2"/>
  <c r="J107" i="2"/>
  <c r="L110" i="2"/>
  <c r="E110" i="2"/>
  <c r="L111" i="2"/>
  <c r="J109" i="2"/>
  <c r="H112" i="2"/>
  <c r="M108" i="2"/>
  <c r="F112" i="2"/>
  <c r="H111" i="2"/>
  <c r="M110" i="2"/>
  <c r="K113" i="2"/>
  <c r="K132" i="2" s="1"/>
  <c r="M78" i="2"/>
  <c r="J78" i="2"/>
  <c r="I78" i="2"/>
  <c r="H78" i="2"/>
  <c r="E78" i="2"/>
  <c r="L78" i="2"/>
  <c r="K78" i="2"/>
  <c r="G78" i="2"/>
  <c r="F78" i="2"/>
  <c r="E120" i="2"/>
  <c r="Q118" i="2" s="1"/>
  <c r="E119" i="2"/>
  <c r="P118" i="2" s="1"/>
  <c r="E121" i="2"/>
  <c r="O119" i="2" s="1"/>
  <c r="E122" i="2"/>
  <c r="P119" i="2" s="1"/>
  <c r="E124" i="2"/>
  <c r="O120" i="2" s="1"/>
  <c r="E123" i="2"/>
  <c r="Q119" i="2" s="1"/>
  <c r="E125" i="2"/>
  <c r="P120" i="2" s="1"/>
  <c r="E126" i="2"/>
  <c r="Q120" i="2" s="1"/>
  <c r="K133" i="2" l="1"/>
  <c r="F132" i="2"/>
  <c r="J132" i="2"/>
  <c r="E133" i="2"/>
  <c r="J133" i="2"/>
  <c r="L133" i="2"/>
  <c r="F133" i="2"/>
  <c r="E132" i="2"/>
  <c r="E106" i="2"/>
  <c r="E131" i="2" s="1"/>
  <c r="N87" i="2"/>
  <c r="O87" i="2" s="1"/>
  <c r="G106" i="2"/>
  <c r="G131" i="2" s="1"/>
  <c r="K106" i="2"/>
  <c r="K115" i="2" s="1"/>
  <c r="L106" i="2"/>
  <c r="L131" i="2" s="1"/>
  <c r="H106" i="2"/>
  <c r="H131" i="2" s="1"/>
  <c r="M106" i="2"/>
  <c r="M115" i="2" s="1"/>
  <c r="F106" i="2"/>
  <c r="F115" i="2" s="1"/>
  <c r="I106" i="2"/>
  <c r="I115" i="2" s="1"/>
  <c r="J106" i="2"/>
  <c r="J115" i="2" s="1"/>
  <c r="P121" i="2"/>
  <c r="T118" i="2" s="1" a="1"/>
  <c r="T118" i="2" s="1"/>
  <c r="Q121" i="2"/>
  <c r="U118" i="2" s="1" a="1"/>
  <c r="U118" i="2" s="1"/>
  <c r="N113" i="2"/>
  <c r="H132" i="2"/>
  <c r="N107" i="2"/>
  <c r="M133" i="2"/>
  <c r="H133" i="2"/>
  <c r="I133" i="2"/>
  <c r="N112" i="2"/>
  <c r="N108" i="2"/>
  <c r="N111" i="2"/>
  <c r="N110" i="2"/>
  <c r="E118" i="2"/>
  <c r="I132" i="2"/>
  <c r="N114" i="2"/>
  <c r="N109" i="2"/>
  <c r="J120" i="2"/>
  <c r="G126" i="2" s="1" a="1"/>
  <c r="G126" i="2" s="1"/>
  <c r="J119" i="2"/>
  <c r="G122" i="2" s="1" a="1"/>
  <c r="G122" i="2" s="1"/>
  <c r="I131" i="2" l="1"/>
  <c r="K131" i="2"/>
  <c r="H115" i="2"/>
  <c r="E127" i="2"/>
  <c r="O118" i="2"/>
  <c r="K119" i="2"/>
  <c r="F119" i="2" s="1" a="1"/>
  <c r="F119" i="2" s="1"/>
  <c r="L115" i="2"/>
  <c r="F131" i="2"/>
  <c r="J131" i="2"/>
  <c r="K120" i="2"/>
  <c r="M131" i="2"/>
  <c r="E115" i="2"/>
  <c r="N115" i="2"/>
  <c r="G115" i="2"/>
  <c r="N106" i="2"/>
  <c r="K118" i="2" s="1"/>
  <c r="J118" i="2"/>
  <c r="G124" i="2" s="1" a="1"/>
  <c r="G124" i="2" s="1"/>
  <c r="G119" i="2" a="1"/>
  <c r="G119" i="2" s="1"/>
  <c r="G123" i="2" a="1"/>
  <c r="G123" i="2" s="1"/>
  <c r="G125" i="2" a="1"/>
  <c r="G125" i="2" s="1"/>
  <c r="G120" i="2" a="1"/>
  <c r="G120" i="2" s="1"/>
  <c r="F122" i="2" l="1" a="1"/>
  <c r="F122" i="2" s="1"/>
  <c r="O121" i="2"/>
  <c r="S118" i="2" s="1" a="1"/>
  <c r="S118" i="2" s="1"/>
  <c r="F124" i="2" a="1"/>
  <c r="F124" i="2" s="1"/>
  <c r="L118" i="2"/>
  <c r="O131" i="2" s="1"/>
  <c r="F120" i="2" a="1"/>
  <c r="F120" i="2" s="1"/>
  <c r="L120" i="2"/>
  <c r="O139" i="2" s="1"/>
  <c r="F125" i="2" a="1"/>
  <c r="F125" i="2" s="1"/>
  <c r="L119" i="2"/>
  <c r="H144" i="2" s="1" a="1"/>
  <c r="H144" i="2" s="1"/>
  <c r="H157" i="2" s="1"/>
  <c r="H12" i="3" s="1"/>
  <c r="F118" i="2" a="1"/>
  <c r="F118" i="2" s="1"/>
  <c r="F121" i="2" a="1"/>
  <c r="F121" i="2" s="1"/>
  <c r="F126" i="2" a="1"/>
  <c r="F126" i="2" s="1"/>
  <c r="F123" i="2" a="1"/>
  <c r="F123" i="2" s="1"/>
  <c r="G121" i="2" a="1"/>
  <c r="G121" i="2" s="1"/>
  <c r="G118" i="2" a="1"/>
  <c r="G118" i="2" s="1"/>
  <c r="K138" i="2" l="1" a="1"/>
  <c r="K138" i="2" s="1"/>
  <c r="K151" i="2" s="1"/>
  <c r="K6" i="3" s="1"/>
  <c r="M141" i="2" a="1"/>
  <c r="M141" i="2" s="1"/>
  <c r="E142" i="2" a="1"/>
  <c r="E142" i="2" s="1"/>
  <c r="E155" i="2" s="1"/>
  <c r="E10" i="3" s="1"/>
  <c r="M137" i="2" a="1"/>
  <c r="M137" i="2" s="1"/>
  <c r="M150" i="2" s="1"/>
  <c r="M5" i="3" s="1"/>
  <c r="E138" i="2" a="1"/>
  <c r="E138" i="2" s="1"/>
  <c r="E151" i="2" s="1"/>
  <c r="E6" i="3" s="1"/>
  <c r="L141" i="2" a="1"/>
  <c r="L141" i="2" s="1"/>
  <c r="K140" i="2" a="1"/>
  <c r="K140" i="2" s="1"/>
  <c r="K153" i="2" s="1"/>
  <c r="K8" i="3" s="1"/>
  <c r="F141" i="2" a="1"/>
  <c r="F141" i="2" s="1"/>
  <c r="K139" i="2" a="1"/>
  <c r="K139" i="2" s="1"/>
  <c r="G142" i="2" a="1"/>
  <c r="G142" i="2" s="1"/>
  <c r="G155" i="2" s="1"/>
  <c r="G10" i="3" s="1"/>
  <c r="M138" i="2" a="1"/>
  <c r="M138" i="2" s="1"/>
  <c r="M151" i="2" s="1"/>
  <c r="M6" i="3" s="1"/>
  <c r="G144" i="2" a="1"/>
  <c r="G144" i="2" s="1"/>
  <c r="G157" i="2" s="1"/>
  <c r="G12" i="3" s="1"/>
  <c r="E145" i="2" a="1"/>
  <c r="E145" i="2" s="1"/>
  <c r="E158" i="2" s="1"/>
  <c r="E13" i="3" s="1"/>
  <c r="F144" i="2" a="1"/>
  <c r="F144" i="2" s="1"/>
  <c r="F157" i="2" s="1"/>
  <c r="F12" i="3" s="1"/>
  <c r="I144" i="2" a="1"/>
  <c r="I144" i="2" s="1"/>
  <c r="I157" i="2" s="1"/>
  <c r="I12" i="3" s="1"/>
  <c r="K144" i="2" a="1"/>
  <c r="K144" i="2" s="1"/>
  <c r="K157" i="2" s="1"/>
  <c r="K12" i="3" s="1"/>
  <c r="L138" i="2" a="1"/>
  <c r="L138" i="2" s="1"/>
  <c r="I138" i="2" a="1"/>
  <c r="I138" i="2" s="1"/>
  <c r="I151" i="2" s="1"/>
  <c r="I6" i="3" s="1"/>
  <c r="H141" i="2" a="1"/>
  <c r="H141" i="2" s="1"/>
  <c r="H154" i="2" s="1"/>
  <c r="H9" i="3" s="1"/>
  <c r="I141" i="2" a="1"/>
  <c r="I141" i="2" s="1"/>
  <c r="I154" i="2" s="1"/>
  <c r="I9" i="3" s="1"/>
  <c r="M144" i="2" a="1"/>
  <c r="M144" i="2" s="1"/>
  <c r="M157" i="2" s="1"/>
  <c r="M12" i="3" s="1"/>
  <c r="K141" i="2" a="1"/>
  <c r="K141" i="2" s="1"/>
  <c r="K154" i="2" s="1"/>
  <c r="K9" i="3" s="1"/>
  <c r="J139" i="2" a="1"/>
  <c r="J139" i="2" s="1"/>
  <c r="J152" i="2" s="1"/>
  <c r="J7" i="3" s="1"/>
  <c r="F139" i="2" a="1"/>
  <c r="F139" i="2" s="1"/>
  <c r="F152" i="2" s="1"/>
  <c r="F7" i="3" s="1"/>
  <c r="O135" i="2"/>
  <c r="E141" i="2" a="1"/>
  <c r="E141" i="2" s="1"/>
  <c r="E154" i="2" s="1"/>
  <c r="E9" i="3" s="1"/>
  <c r="H138" i="2" a="1"/>
  <c r="H138" i="2" s="1"/>
  <c r="H151" i="2" s="1"/>
  <c r="H6" i="3" s="1"/>
  <c r="G141" i="2" a="1"/>
  <c r="G141" i="2" s="1"/>
  <c r="G154" i="2" s="1"/>
  <c r="G9" i="3" s="1"/>
  <c r="E144" i="2" a="1"/>
  <c r="E144" i="2" s="1"/>
  <c r="E157" i="2" s="1"/>
  <c r="E12" i="3" s="1"/>
  <c r="S139" i="2"/>
  <c r="W139" i="2"/>
  <c r="P139" i="2"/>
  <c r="X139" i="2"/>
  <c r="T139" i="2"/>
  <c r="R139" i="2"/>
  <c r="Q139" i="2"/>
  <c r="U139" i="2"/>
  <c r="V139" i="2"/>
  <c r="J144" i="2" a="1"/>
  <c r="J144" i="2" s="1"/>
  <c r="J157" i="2" s="1"/>
  <c r="J12" i="3" s="1"/>
  <c r="K142" i="2" a="1"/>
  <c r="K142" i="2" s="1"/>
  <c r="K155" i="2" s="1"/>
  <c r="K10" i="3" s="1"/>
  <c r="J138" i="2" a="1"/>
  <c r="J138" i="2" s="1"/>
  <c r="J141" i="2" a="1"/>
  <c r="J141" i="2" s="1"/>
  <c r="J154" i="2" s="1"/>
  <c r="J9" i="3" s="1"/>
  <c r="G138" i="2" a="1"/>
  <c r="G138" i="2" s="1"/>
  <c r="G151" i="2" s="1"/>
  <c r="G6" i="3" s="1"/>
  <c r="M142" i="2" a="1"/>
  <c r="M142" i="2" s="1"/>
  <c r="M155" i="2" s="1"/>
  <c r="M10" i="3" s="1"/>
  <c r="R131" i="2"/>
  <c r="X131" i="2"/>
  <c r="S131" i="2"/>
  <c r="T131" i="2"/>
  <c r="Q131" i="2"/>
  <c r="P131" i="2"/>
  <c r="W131" i="2"/>
  <c r="V131" i="2"/>
  <c r="U131" i="2"/>
  <c r="F138" i="2" a="1"/>
  <c r="F138" i="2" s="1"/>
  <c r="F151" i="2" s="1"/>
  <c r="F6" i="3" s="1"/>
  <c r="L144" i="2" a="1"/>
  <c r="L144" i="2" s="1"/>
  <c r="L157" i="2" s="1"/>
  <c r="L12" i="3" s="1"/>
  <c r="G145" i="2" a="1"/>
  <c r="G145" i="2" s="1"/>
  <c r="G158" i="2" s="1"/>
  <c r="G13" i="3" s="1"/>
  <c r="M139" i="2" a="1"/>
  <c r="M139" i="2" s="1"/>
  <c r="M152" i="2" s="1"/>
  <c r="M7" i="3" s="1"/>
  <c r="I142" i="2" a="1"/>
  <c r="I142" i="2" s="1"/>
  <c r="I155" i="2" s="1"/>
  <c r="I10" i="3" s="1"/>
  <c r="G140" i="2" a="1"/>
  <c r="G140" i="2" s="1"/>
  <c r="G153" i="2" s="1"/>
  <c r="G8" i="3" s="1"/>
  <c r="L139" i="2" a="1"/>
  <c r="L139" i="2" s="1"/>
  <c r="L152" i="2" s="1"/>
  <c r="L7" i="3" s="1"/>
  <c r="H137" i="2" a="1"/>
  <c r="H137" i="2" s="1"/>
  <c r="H150" i="2" s="1"/>
  <c r="H5" i="3" s="1"/>
  <c r="E137" i="2" a="1"/>
  <c r="E137" i="2" s="1"/>
  <c r="E150" i="2" s="1"/>
  <c r="E5" i="3" s="1"/>
  <c r="G127" i="2"/>
  <c r="E139" i="2" a="1"/>
  <c r="E139" i="2" s="1"/>
  <c r="E152" i="2" s="1"/>
  <c r="E7" i="3" s="1"/>
  <c r="H145" i="2" a="1"/>
  <c r="H145" i="2" s="1"/>
  <c r="H158" i="2" s="1"/>
  <c r="H13" i="3" s="1"/>
  <c r="M145" i="2" a="1"/>
  <c r="M145" i="2" s="1"/>
  <c r="M158" i="2" s="1"/>
  <c r="M13" i="3" s="1"/>
  <c r="J145" i="2" a="1"/>
  <c r="J145" i="2" s="1"/>
  <c r="J158" i="2" s="1"/>
  <c r="J13" i="3" s="1"/>
  <c r="I139" i="2" a="1"/>
  <c r="I139" i="2" s="1"/>
  <c r="I152" i="2" s="1"/>
  <c r="I7" i="3" s="1"/>
  <c r="G139" i="2" a="1"/>
  <c r="G139" i="2" s="1"/>
  <c r="G152" i="2" s="1"/>
  <c r="G7" i="3" s="1"/>
  <c r="I145" i="2" a="1"/>
  <c r="I145" i="2" s="1"/>
  <c r="I158" i="2" s="1"/>
  <c r="I13" i="3" s="1"/>
  <c r="E140" i="2" a="1"/>
  <c r="E140" i="2" s="1"/>
  <c r="E153" i="2" s="1"/>
  <c r="E8" i="3" s="1"/>
  <c r="H140" i="2" a="1"/>
  <c r="H140" i="2" s="1"/>
  <c r="H153" i="2" s="1"/>
  <c r="H8" i="3" s="1"/>
  <c r="G137" i="2" a="1"/>
  <c r="G137" i="2" s="1"/>
  <c r="G150" i="2" s="1"/>
  <c r="G5" i="3" s="1"/>
  <c r="J142" i="2" a="1"/>
  <c r="J142" i="2" s="1"/>
  <c r="J155" i="2" s="1"/>
  <c r="J10" i="3" s="1"/>
  <c r="H142" i="2" a="1"/>
  <c r="H142" i="2" s="1"/>
  <c r="H155" i="2" s="1"/>
  <c r="H10" i="3" s="1"/>
  <c r="K145" i="2" a="1"/>
  <c r="K145" i="2" s="1"/>
  <c r="K158" i="2" s="1"/>
  <c r="K13" i="3" s="1"/>
  <c r="J137" i="2" a="1"/>
  <c r="J137" i="2" s="1"/>
  <c r="J150" i="2" s="1"/>
  <c r="J5" i="3" s="1"/>
  <c r="H143" i="2" a="1"/>
  <c r="H143" i="2" s="1"/>
  <c r="H156" i="2" s="1"/>
  <c r="H11" i="3" s="1"/>
  <c r="K137" i="2" a="1"/>
  <c r="K137" i="2" s="1"/>
  <c r="K150" i="2" s="1"/>
  <c r="K5" i="3" s="1"/>
  <c r="F143" i="2" a="1"/>
  <c r="F143" i="2" s="1"/>
  <c r="F156" i="2" s="1"/>
  <c r="F11" i="3" s="1"/>
  <c r="M143" i="2" a="1"/>
  <c r="M143" i="2" s="1"/>
  <c r="M156" i="2" s="1"/>
  <c r="M11" i="3" s="1"/>
  <c r="L145" i="2" a="1"/>
  <c r="L145" i="2" s="1"/>
  <c r="L158" i="2" s="1"/>
  <c r="L13" i="3" s="1"/>
  <c r="F145" i="2" a="1"/>
  <c r="F145" i="2" s="1"/>
  <c r="F158" i="2" s="1"/>
  <c r="F13" i="3" s="1"/>
  <c r="L143" i="2" a="1"/>
  <c r="L143" i="2" s="1"/>
  <c r="L156" i="2" s="1"/>
  <c r="L11" i="3" s="1"/>
  <c r="F142" i="2" a="1"/>
  <c r="F142" i="2" s="1"/>
  <c r="F155" i="2" s="1"/>
  <c r="F10" i="3" s="1"/>
  <c r="H139" i="2" a="1"/>
  <c r="H139" i="2" s="1"/>
  <c r="H152" i="2" s="1"/>
  <c r="H7" i="3" s="1"/>
  <c r="L142" i="2" a="1"/>
  <c r="L142" i="2" s="1"/>
  <c r="L155" i="2" s="1"/>
  <c r="L10" i="3" s="1"/>
  <c r="E143" i="2" a="1"/>
  <c r="E143" i="2" s="1"/>
  <c r="E156" i="2" s="1"/>
  <c r="E11" i="3" s="1"/>
  <c r="L137" i="2" a="1"/>
  <c r="L137" i="2" s="1"/>
  <c r="L150" i="2" s="1"/>
  <c r="L5" i="3" s="1"/>
  <c r="G143" i="2" a="1"/>
  <c r="G143" i="2" s="1"/>
  <c r="G156" i="2" s="1"/>
  <c r="G11" i="3" s="1"/>
  <c r="F140" i="2" a="1"/>
  <c r="F140" i="2" s="1"/>
  <c r="F153" i="2" s="1"/>
  <c r="F8" i="3" s="1"/>
  <c r="F137" i="2" a="1"/>
  <c r="F137" i="2" s="1"/>
  <c r="F150" i="2" s="1"/>
  <c r="F5" i="3" s="1"/>
  <c r="L140" i="2" a="1"/>
  <c r="L140" i="2" s="1"/>
  <c r="L153" i="2" s="1"/>
  <c r="L8" i="3" s="1"/>
  <c r="M140" i="2" a="1"/>
  <c r="M140" i="2" s="1"/>
  <c r="M153" i="2" s="1"/>
  <c r="M8" i="3" s="1"/>
  <c r="I137" i="2" a="1"/>
  <c r="I137" i="2" s="1"/>
  <c r="I150" i="2" s="1"/>
  <c r="I5" i="3" s="1"/>
  <c r="I143" i="2" a="1"/>
  <c r="I143" i="2" s="1"/>
  <c r="I156" i="2" s="1"/>
  <c r="I11" i="3" s="1"/>
  <c r="I140" i="2" a="1"/>
  <c r="I140" i="2" s="1"/>
  <c r="I153" i="2" s="1"/>
  <c r="I8" i="3" s="1"/>
  <c r="J143" i="2" a="1"/>
  <c r="J143" i="2" s="1"/>
  <c r="J156" i="2" s="1"/>
  <c r="J11" i="3" s="1"/>
  <c r="J140" i="2" a="1"/>
  <c r="J140" i="2" s="1"/>
  <c r="J153" i="2" s="1"/>
  <c r="J8" i="3" s="1"/>
  <c r="K143" i="2" a="1"/>
  <c r="K143" i="2" s="1"/>
  <c r="K156" i="2" s="1"/>
  <c r="K11" i="3" s="1"/>
  <c r="Q157" i="2"/>
  <c r="T151" i="2" l="1"/>
  <c r="L154" i="2"/>
  <c r="L9" i="3" s="1"/>
  <c r="J151" i="2"/>
  <c r="L151" i="2"/>
  <c r="K152" i="2"/>
  <c r="F154" i="2"/>
  <c r="M154" i="2"/>
  <c r="F188" i="2"/>
  <c r="F195" i="2"/>
  <c r="N155" i="2"/>
  <c r="V151" i="2"/>
  <c r="N157" i="2"/>
  <c r="P154" i="2"/>
  <c r="Q154" i="2"/>
  <c r="N151" i="2"/>
  <c r="P155" i="2"/>
  <c r="T153" i="2"/>
  <c r="T157" i="2"/>
  <c r="S157" i="2"/>
  <c r="T155" i="2"/>
  <c r="Q151" i="2"/>
  <c r="P151" i="2"/>
  <c r="I178" i="2"/>
  <c r="I182" i="2" s="1"/>
  <c r="O157" i="2"/>
  <c r="G178" i="2"/>
  <c r="G182" i="2" s="1"/>
  <c r="P157" i="2"/>
  <c r="N158" i="2"/>
  <c r="K178" i="2"/>
  <c r="K182" i="2" s="1"/>
  <c r="H178" i="2"/>
  <c r="H182" i="2" s="1"/>
  <c r="V157" i="2"/>
  <c r="R154" i="2"/>
  <c r="T154" i="2"/>
  <c r="R151" i="2"/>
  <c r="S152" i="2"/>
  <c r="O152" i="2"/>
  <c r="R157" i="2"/>
  <c r="R158" i="2"/>
  <c r="O151" i="2"/>
  <c r="R155" i="2"/>
  <c r="P158" i="2"/>
  <c r="P140" i="2" a="1"/>
  <c r="P140" i="2" s="1"/>
  <c r="U157" i="2"/>
  <c r="S154" i="2"/>
  <c r="E178" i="2"/>
  <c r="E182" i="2" s="1"/>
  <c r="V152" i="2"/>
  <c r="P132" i="2" a="1"/>
  <c r="P132" i="2" s="1"/>
  <c r="V155" i="2"/>
  <c r="N154" i="2"/>
  <c r="V135" i="2"/>
  <c r="T135" i="2"/>
  <c r="R135" i="2"/>
  <c r="U135" i="2"/>
  <c r="Q135" i="2"/>
  <c r="W135" i="2"/>
  <c r="S135" i="2"/>
  <c r="X135" i="2"/>
  <c r="P135" i="2"/>
  <c r="F193" i="2"/>
  <c r="M179" i="2"/>
  <c r="M183" i="2" s="1"/>
  <c r="S155" i="2"/>
  <c r="V158" i="2"/>
  <c r="F179" i="2"/>
  <c r="F183" i="2" s="1"/>
  <c r="U158" i="2"/>
  <c r="O158" i="2"/>
  <c r="Q152" i="2"/>
  <c r="O155" i="2"/>
  <c r="S153" i="2"/>
  <c r="S156" i="2"/>
  <c r="N150" i="2"/>
  <c r="R150" i="2"/>
  <c r="U150" i="2"/>
  <c r="T150" i="2"/>
  <c r="S150" i="2"/>
  <c r="O150" i="2"/>
  <c r="Q150" i="2"/>
  <c r="P150" i="2"/>
  <c r="V150" i="2"/>
  <c r="F189" i="2" l="1"/>
  <c r="U154" i="2"/>
  <c r="L178" i="2"/>
  <c r="L182" i="2" s="1"/>
  <c r="J178" i="2"/>
  <c r="J182" i="2" s="1"/>
  <c r="T152" i="2"/>
  <c r="K7" i="3"/>
  <c r="U151" i="2"/>
  <c r="L6" i="3"/>
  <c r="V154" i="2"/>
  <c r="M9" i="3"/>
  <c r="F178" i="2"/>
  <c r="F182" i="2" s="1"/>
  <c r="F9" i="3"/>
  <c r="S151" i="2"/>
  <c r="J6" i="3"/>
  <c r="M178" i="2"/>
  <c r="M182" i="2" s="1"/>
  <c r="O154" i="2"/>
  <c r="F192" i="2"/>
  <c r="F196" i="2"/>
  <c r="F191" i="2"/>
  <c r="F190" i="2"/>
  <c r="F194" i="2"/>
  <c r="S158" i="2"/>
  <c r="U156" i="2"/>
  <c r="L177" i="2"/>
  <c r="L181" i="2" s="1"/>
  <c r="R152" i="2"/>
  <c r="E179" i="2"/>
  <c r="E183" i="2" s="1"/>
  <c r="Q153" i="2"/>
  <c r="W157" i="2"/>
  <c r="P156" i="2"/>
  <c r="R156" i="2"/>
  <c r="P136" i="2" a="1"/>
  <c r="P136" i="2" s="1"/>
  <c r="H177" i="2"/>
  <c r="H181" i="2" s="1"/>
  <c r="V156" i="2"/>
  <c r="L179" i="2"/>
  <c r="L183" i="2" s="1"/>
  <c r="J179" i="2"/>
  <c r="J183" i="2" s="1"/>
  <c r="O156" i="2"/>
  <c r="Q156" i="2"/>
  <c r="H179" i="2"/>
  <c r="H183" i="2" s="1"/>
  <c r="E177" i="2"/>
  <c r="E181" i="2" s="1"/>
  <c r="Q158" i="2"/>
  <c r="I179" i="2"/>
  <c r="I183" i="2" s="1"/>
  <c r="Q155" i="2"/>
  <c r="F177" i="2"/>
  <c r="F181" i="2" s="1"/>
  <c r="U155" i="2"/>
  <c r="N156" i="2"/>
  <c r="U153" i="2"/>
  <c r="P153" i="2"/>
  <c r="K179" i="2"/>
  <c r="K183" i="2" s="1"/>
  <c r="N152" i="2"/>
  <c r="T158" i="2"/>
  <c r="G179" i="2"/>
  <c r="G183" i="2" s="1"/>
  <c r="N153" i="2"/>
  <c r="U152" i="2"/>
  <c r="P152" i="2"/>
  <c r="O153" i="2"/>
  <c r="G177" i="2"/>
  <c r="G181" i="2" s="1"/>
  <c r="I177" i="2"/>
  <c r="I181" i="2" s="1"/>
  <c r="J177" i="2"/>
  <c r="J181" i="2" s="1"/>
  <c r="N159" i="2"/>
  <c r="V153" i="2"/>
  <c r="M177" i="2"/>
  <c r="M181" i="2" s="1"/>
  <c r="T156" i="2"/>
  <c r="R153" i="2"/>
  <c r="K177" i="2"/>
  <c r="K181" i="2" s="1"/>
  <c r="W150" i="2"/>
  <c r="W154" i="2" l="1"/>
  <c r="W151" i="2"/>
  <c r="M184" i="2"/>
  <c r="N182" i="2"/>
  <c r="F184" i="2"/>
  <c r="E60" i="3" a="1"/>
  <c r="E60" i="3" s="1"/>
  <c r="W158" i="2"/>
  <c r="L184" i="2"/>
  <c r="L185" i="2" s="1"/>
  <c r="F203" i="2"/>
  <c r="F24" i="3" s="1"/>
  <c r="F200" i="2"/>
  <c r="F21" i="3" s="1"/>
  <c r="F207" i="2"/>
  <c r="F28" i="3" s="1"/>
  <c r="H184" i="2"/>
  <c r="H185" i="2" s="1"/>
  <c r="N183" i="2"/>
  <c r="E184" i="2"/>
  <c r="E185" i="2" s="1"/>
  <c r="N181" i="2"/>
  <c r="J184" i="2"/>
  <c r="J185" i="2" s="1"/>
  <c r="W156" i="2"/>
  <c r="W155" i="2"/>
  <c r="K184" i="2"/>
  <c r="K185" i="2" s="1"/>
  <c r="I184" i="2"/>
  <c r="I185" i="2" s="1"/>
  <c r="W152" i="2"/>
  <c r="G184" i="2"/>
  <c r="G185" i="2" s="1"/>
  <c r="W153" i="2"/>
  <c r="N14" i="3"/>
  <c r="F205" i="2" l="1"/>
  <c r="F26" i="3" s="1"/>
  <c r="F185" i="2"/>
  <c r="M201" i="2"/>
  <c r="M22" i="3" s="1"/>
  <c r="M185" i="2"/>
  <c r="F206" i="2"/>
  <c r="F27" i="3" s="1"/>
  <c r="F208" i="2"/>
  <c r="F29" i="3" s="1"/>
  <c r="F202" i="2"/>
  <c r="F23" i="3" s="1"/>
  <c r="F201" i="2"/>
  <c r="F22" i="3" s="1"/>
  <c r="F204" i="2"/>
  <c r="F25" i="3" s="1"/>
  <c r="M202" i="2"/>
  <c r="M23" i="3" s="1"/>
  <c r="M200" i="2"/>
  <c r="M21" i="3" s="1"/>
  <c r="M204" i="2"/>
  <c r="M25" i="3" s="1"/>
  <c r="M208" i="2"/>
  <c r="M29" i="3" s="1"/>
  <c r="M203" i="2"/>
  <c r="M24" i="3" s="1"/>
  <c r="M206" i="2"/>
  <c r="M27" i="3" s="1"/>
  <c r="M207" i="2"/>
  <c r="M28" i="3" s="1"/>
  <c r="G188" i="2" a="1"/>
  <c r="D195" i="2" s="1"/>
  <c r="J195" i="2" s="1"/>
  <c r="K195" i="2" s="1"/>
  <c r="L195" i="2" s="1"/>
  <c r="M205" i="2"/>
  <c r="M26" i="3" s="1"/>
  <c r="E15" i="3" a="1"/>
  <c r="E200" i="2"/>
  <c r="E21" i="3" s="1"/>
  <c r="G205" i="2"/>
  <c r="G26" i="3" s="1"/>
  <c r="G204" i="2"/>
  <c r="G25" i="3" s="1"/>
  <c r="G201" i="2"/>
  <c r="G22" i="3" s="1"/>
  <c r="G207" i="2"/>
  <c r="G28" i="3" s="1"/>
  <c r="G200" i="2"/>
  <c r="G21" i="3" s="1"/>
  <c r="G208" i="2"/>
  <c r="G29" i="3" s="1"/>
  <c r="G206" i="2"/>
  <c r="G27" i="3" s="1"/>
  <c r="G203" i="2"/>
  <c r="G24" i="3" s="1"/>
  <c r="G202" i="2"/>
  <c r="G23" i="3" s="1"/>
  <c r="H207" i="2"/>
  <c r="H28" i="3" s="1"/>
  <c r="H200" i="2"/>
  <c r="H21" i="3" s="1"/>
  <c r="H201" i="2"/>
  <c r="H22" i="3" s="1"/>
  <c r="H204" i="2"/>
  <c r="H25" i="3" s="1"/>
  <c r="H202" i="2"/>
  <c r="H23" i="3" s="1"/>
  <c r="H206" i="2"/>
  <c r="H27" i="3" s="1"/>
  <c r="H205" i="2"/>
  <c r="H26" i="3" s="1"/>
  <c r="H203" i="2"/>
  <c r="H24" i="3" s="1"/>
  <c r="H208" i="2"/>
  <c r="H29" i="3" s="1"/>
  <c r="J205" i="2"/>
  <c r="J26" i="3" s="1"/>
  <c r="J201" i="2"/>
  <c r="J22" i="3" s="1"/>
  <c r="J203" i="2"/>
  <c r="J24" i="3" s="1"/>
  <c r="J200" i="2"/>
  <c r="J21" i="3" s="1"/>
  <c r="J206" i="2"/>
  <c r="J27" i="3" s="1"/>
  <c r="J207" i="2"/>
  <c r="J28" i="3" s="1"/>
  <c r="J204" i="2"/>
  <c r="J25" i="3" s="1"/>
  <c r="J202" i="2"/>
  <c r="J23" i="3" s="1"/>
  <c r="J208" i="2"/>
  <c r="I208" i="2"/>
  <c r="I29" i="3" s="1"/>
  <c r="I207" i="2"/>
  <c r="I28" i="3" s="1"/>
  <c r="I201" i="2"/>
  <c r="I22" i="3" s="1"/>
  <c r="I204" i="2"/>
  <c r="I25" i="3" s="1"/>
  <c r="I205" i="2"/>
  <c r="I26" i="3" s="1"/>
  <c r="I200" i="2"/>
  <c r="I21" i="3" s="1"/>
  <c r="I203" i="2"/>
  <c r="I24" i="3" s="1"/>
  <c r="I202" i="2"/>
  <c r="I23" i="3" s="1"/>
  <c r="I206" i="2"/>
  <c r="I27" i="3" s="1"/>
  <c r="K202" i="2"/>
  <c r="K23" i="3" s="1"/>
  <c r="K201" i="2"/>
  <c r="K22" i="3" s="1"/>
  <c r="K207" i="2"/>
  <c r="K28" i="3" s="1"/>
  <c r="K204" i="2"/>
  <c r="K25" i="3" s="1"/>
  <c r="K200" i="2"/>
  <c r="K21" i="3" s="1"/>
  <c r="K203" i="2"/>
  <c r="K24" i="3" s="1"/>
  <c r="K206" i="2"/>
  <c r="K27" i="3" s="1"/>
  <c r="K205" i="2"/>
  <c r="K26" i="3" s="1"/>
  <c r="K208" i="2"/>
  <c r="K29" i="3" s="1"/>
  <c r="E201" i="2"/>
  <c r="E22" i="3" s="1"/>
  <c r="E204" i="2"/>
  <c r="E25" i="3" s="1"/>
  <c r="E207" i="2"/>
  <c r="E28" i="3" s="1"/>
  <c r="E208" i="2"/>
  <c r="E29" i="3" s="1"/>
  <c r="E205" i="2"/>
  <c r="E26" i="3" s="1"/>
  <c r="E202" i="2"/>
  <c r="E23" i="3" s="1"/>
  <c r="E203" i="2"/>
  <c r="E24" i="3" s="1"/>
  <c r="E206" i="2"/>
  <c r="E27" i="3" s="1"/>
  <c r="L204" i="2"/>
  <c r="L25" i="3" s="1"/>
  <c r="L207" i="2"/>
  <c r="L28" i="3" s="1"/>
  <c r="L208" i="2"/>
  <c r="L29" i="3" s="1"/>
  <c r="L200" i="2"/>
  <c r="L21" i="3" s="1"/>
  <c r="L201" i="2"/>
  <c r="L22" i="3" s="1"/>
  <c r="L203" i="2"/>
  <c r="L24" i="3" s="1"/>
  <c r="L202" i="2"/>
  <c r="L23" i="3" s="1"/>
  <c r="L206" i="2"/>
  <c r="L27" i="3" s="1"/>
  <c r="L205" i="2"/>
  <c r="L26" i="3" s="1"/>
  <c r="N184" i="2"/>
  <c r="J29" i="3"/>
  <c r="G188" i="2" l="1"/>
  <c r="D188" i="2" s="1"/>
  <c r="J188" i="2" s="1"/>
  <c r="K188" i="2" s="1"/>
  <c r="L188" i="2" s="1"/>
  <c r="D190" i="2"/>
  <c r="J190" i="2" s="1"/>
  <c r="K190" i="2" s="1"/>
  <c r="L190" i="2" s="1"/>
  <c r="D189" i="2"/>
  <c r="J189" i="2" s="1"/>
  <c r="K189" i="2" s="1"/>
  <c r="L189" i="2" s="1"/>
  <c r="D191" i="2"/>
  <c r="J191" i="2" s="1"/>
  <c r="K191" i="2" s="1"/>
  <c r="L191" i="2" s="1"/>
  <c r="D194" i="2"/>
  <c r="J194" i="2" s="1"/>
  <c r="K194" i="2" s="1"/>
  <c r="L194" i="2" s="1"/>
  <c r="D192" i="2"/>
  <c r="J192" i="2" s="1"/>
  <c r="K192" i="2" s="1"/>
  <c r="L192" i="2" s="1"/>
  <c r="D193" i="2"/>
  <c r="J193" i="2" s="1"/>
  <c r="K193" i="2" s="1"/>
  <c r="L193" i="2" s="1"/>
  <c r="D196" i="2"/>
  <c r="J196" i="2" s="1"/>
  <c r="K196" i="2" s="1"/>
  <c r="L196" i="2" s="1"/>
  <c r="N185" i="2"/>
  <c r="N186" i="2" s="1"/>
  <c r="E15" i="3"/>
  <c r="E14" i="3" s="1"/>
  <c r="E30" i="3" s="1"/>
  <c r="E31" i="3" s="1"/>
  <c r="L14" i="3"/>
  <c r="L30" i="3" s="1"/>
  <c r="L31" i="3" s="1"/>
  <c r="F14" i="3"/>
  <c r="F30" i="3" s="1"/>
  <c r="F31" i="3" s="1"/>
  <c r="I14" i="3"/>
  <c r="I30" i="3" s="1"/>
  <c r="I31" i="3" s="1"/>
  <c r="K14" i="3"/>
  <c r="K30" i="3" s="1"/>
  <c r="K31" i="3" s="1"/>
  <c r="J14" i="3"/>
  <c r="J30" i="3" s="1"/>
  <c r="J31" i="3" s="1"/>
  <c r="M14" i="3"/>
  <c r="M30" i="3" s="1"/>
  <c r="M31" i="3" s="1"/>
  <c r="H14" i="3"/>
  <c r="H30" i="3" s="1"/>
  <c r="H31" i="3" s="1"/>
  <c r="G14" i="3"/>
  <c r="G30" i="3" s="1"/>
  <c r="G31" i="3" s="1"/>
  <c r="E36" i="3" a="1"/>
  <c r="E36" i="3" s="1"/>
  <c r="E213" i="2" a="1"/>
  <c r="O5" i="3" l="1" a="1"/>
  <c r="N9" i="3" s="1"/>
  <c r="E196" i="2"/>
  <c r="B196" i="2" s="1"/>
  <c r="E55" i="7" s="1"/>
  <c r="F55" i="7" s="1"/>
  <c r="H55" i="7" s="1"/>
  <c r="H196" i="2"/>
  <c r="I196" i="2" s="1"/>
  <c r="H191" i="2"/>
  <c r="I191" i="2" s="1"/>
  <c r="E191" i="2"/>
  <c r="B191" i="2" s="1"/>
  <c r="E50" i="7" s="1"/>
  <c r="F50" i="7" s="1"/>
  <c r="H50" i="7" s="1"/>
  <c r="E188" i="2"/>
  <c r="B188" i="2" s="1"/>
  <c r="E47" i="7" s="1"/>
  <c r="F47" i="7" s="1"/>
  <c r="H47" i="7" s="1"/>
  <c r="H188" i="2"/>
  <c r="I188" i="2" s="1"/>
  <c r="E194" i="2"/>
  <c r="B194" i="2" s="1"/>
  <c r="E53" i="7" s="1"/>
  <c r="F53" i="7" s="1"/>
  <c r="H53" i="7" s="1"/>
  <c r="H194" i="2"/>
  <c r="I194" i="2" s="1"/>
  <c r="E195" i="2"/>
  <c r="B195" i="2" s="1"/>
  <c r="E54" i="7" s="1"/>
  <c r="F54" i="7" s="1"/>
  <c r="H54" i="7" s="1"/>
  <c r="H195" i="2"/>
  <c r="I195" i="2" s="1"/>
  <c r="E189" i="2"/>
  <c r="B189" i="2" s="1"/>
  <c r="E48" i="7" s="1"/>
  <c r="F48" i="7" s="1"/>
  <c r="H48" i="7" s="1"/>
  <c r="H189" i="2"/>
  <c r="I189" i="2" s="1"/>
  <c r="E190" i="2"/>
  <c r="B190" i="2" s="1"/>
  <c r="E49" i="7" s="1"/>
  <c r="F49" i="7" s="1"/>
  <c r="H49" i="7" s="1"/>
  <c r="H190" i="2"/>
  <c r="I190" i="2" s="1"/>
  <c r="H192" i="2"/>
  <c r="I192" i="2" s="1"/>
  <c r="E192" i="2"/>
  <c r="B192" i="2" s="1"/>
  <c r="E51" i="7" s="1"/>
  <c r="F51" i="7" s="1"/>
  <c r="H51" i="7" s="1"/>
  <c r="E193" i="2"/>
  <c r="B193" i="2" s="1"/>
  <c r="E52" i="7" s="1"/>
  <c r="F52" i="7" s="1"/>
  <c r="H52" i="7" s="1"/>
  <c r="H193" i="2"/>
  <c r="I193" i="2" s="1"/>
  <c r="E213" i="2"/>
  <c r="C188" i="7" l="1" a="1"/>
  <c r="H56" i="7"/>
  <c r="H57" i="7" s="1"/>
  <c r="E60" i="7" a="1"/>
  <c r="N6" i="3"/>
  <c r="N12" i="3"/>
  <c r="O5" i="3"/>
  <c r="F60" i="3" s="1" a="1"/>
  <c r="F60" i="3" s="1"/>
  <c r="N10" i="3"/>
  <c r="N7" i="3"/>
  <c r="N13" i="3"/>
  <c r="N8" i="3"/>
  <c r="N11" i="3"/>
  <c r="C188" i="7" l="1"/>
  <c r="E60" i="7"/>
  <c r="G63" i="7"/>
  <c r="G66" i="7"/>
  <c r="G65" i="7"/>
  <c r="G68" i="7"/>
  <c r="G64" i="7"/>
  <c r="G61" i="7"/>
  <c r="G67" i="7"/>
  <c r="G62" i="7"/>
  <c r="E16" i="3" a="1"/>
  <c r="M17" i="3" s="1"/>
  <c r="N5" i="3"/>
  <c r="H47" i="3" s="1" a="1"/>
  <c r="H47" i="3" s="1"/>
  <c r="C188" i="3" s="1" a="1"/>
  <c r="N47" i="3" a="1"/>
  <c r="N47" i="3" s="1"/>
  <c r="N56" i="3" s="1"/>
  <c r="O47" i="3" a="1"/>
  <c r="O47" i="3" s="1"/>
  <c r="O56" i="3" s="1"/>
  <c r="G67" i="3"/>
  <c r="P5" i="3" a="1"/>
  <c r="Q12" i="3" s="1"/>
  <c r="R12" i="3" s="1"/>
  <c r="G63" i="3"/>
  <c r="G65" i="3"/>
  <c r="G62" i="3"/>
  <c r="G68" i="3"/>
  <c r="G61" i="3"/>
  <c r="G64" i="3"/>
  <c r="G66" i="3"/>
  <c r="G17" i="3" l="1"/>
  <c r="I72" i="7" a="1"/>
  <c r="I72" i="7" s="1"/>
  <c r="I74" i="7" s="1"/>
  <c r="L17" i="3"/>
  <c r="F17" i="3"/>
  <c r="D88" i="7" a="1"/>
  <c r="G60" i="7"/>
  <c r="C188" i="3"/>
  <c r="Q10" i="3"/>
  <c r="R10" i="3" s="1"/>
  <c r="Q11" i="3"/>
  <c r="R11" i="3" s="1"/>
  <c r="Q6" i="3"/>
  <c r="R6" i="3" s="1"/>
  <c r="P5" i="3"/>
  <c r="Q5" i="3" s="1"/>
  <c r="R5" i="3" s="1"/>
  <c r="Q13" i="3"/>
  <c r="R13" i="3" s="1"/>
  <c r="I17" i="3"/>
  <c r="E16" i="3"/>
  <c r="E17" i="3" s="1"/>
  <c r="J17" i="3"/>
  <c r="K17" i="3"/>
  <c r="H17" i="3"/>
  <c r="Q9" i="3"/>
  <c r="R9" i="3" s="1"/>
  <c r="Q7" i="3"/>
  <c r="R7" i="3" s="1"/>
  <c r="Q8" i="3"/>
  <c r="R8" i="3" s="1"/>
  <c r="H56" i="3"/>
  <c r="D88" i="3" a="1"/>
  <c r="G60" i="3"/>
  <c r="I72" i="3" s="1" a="1"/>
  <c r="I72" i="3" s="1"/>
  <c r="I74" i="3" s="1"/>
  <c r="M102" i="7" l="1"/>
  <c r="J101" i="7"/>
  <c r="G100" i="7"/>
  <c r="M98" i="7"/>
  <c r="J97" i="7"/>
  <c r="G96" i="7"/>
  <c r="M94" i="7"/>
  <c r="I98" i="7"/>
  <c r="M100" i="7"/>
  <c r="L102" i="7"/>
  <c r="I101" i="7"/>
  <c r="F100" i="7"/>
  <c r="L98" i="7"/>
  <c r="I97" i="7"/>
  <c r="F96" i="7"/>
  <c r="L94" i="7"/>
  <c r="K102" i="7"/>
  <c r="H101" i="7"/>
  <c r="E100" i="7"/>
  <c r="K98" i="7"/>
  <c r="H97" i="7"/>
  <c r="E96" i="7"/>
  <c r="K94" i="7"/>
  <c r="I102" i="7"/>
  <c r="F101" i="7"/>
  <c r="L99" i="7"/>
  <c r="F97" i="7"/>
  <c r="L95" i="7"/>
  <c r="I94" i="7"/>
  <c r="H102" i="7"/>
  <c r="E101" i="7"/>
  <c r="K99" i="7"/>
  <c r="H98" i="7"/>
  <c r="E97" i="7"/>
  <c r="K95" i="7"/>
  <c r="H94" i="7"/>
  <c r="G102" i="7"/>
  <c r="J99" i="7"/>
  <c r="G98" i="7"/>
  <c r="M96" i="7"/>
  <c r="J95" i="7"/>
  <c r="G94" i="7"/>
  <c r="F102" i="7"/>
  <c r="L100" i="7"/>
  <c r="I99" i="7"/>
  <c r="F98" i="7"/>
  <c r="L96" i="7"/>
  <c r="I95" i="7"/>
  <c r="F94" i="7"/>
  <c r="E102" i="7"/>
  <c r="K100" i="7"/>
  <c r="H99" i="7"/>
  <c r="K96" i="7"/>
  <c r="H95" i="7"/>
  <c r="E94" i="7"/>
  <c r="J102" i="7"/>
  <c r="G101" i="7"/>
  <c r="M99" i="7"/>
  <c r="J98" i="7"/>
  <c r="G97" i="7"/>
  <c r="M95" i="7"/>
  <c r="J94" i="7"/>
  <c r="M101" i="7"/>
  <c r="K97" i="7"/>
  <c r="L101" i="7"/>
  <c r="J96" i="7"/>
  <c r="K101" i="7"/>
  <c r="I96" i="7"/>
  <c r="G95" i="7"/>
  <c r="H100" i="7"/>
  <c r="F95" i="7"/>
  <c r="G99" i="7"/>
  <c r="F99" i="7"/>
  <c r="E99" i="7"/>
  <c r="E98" i="7"/>
  <c r="L97" i="7"/>
  <c r="J100" i="7"/>
  <c r="H96" i="7"/>
  <c r="E95" i="7"/>
  <c r="M97" i="7"/>
  <c r="I100" i="7"/>
  <c r="K72" i="7" a="1"/>
  <c r="K72" i="7" s="1"/>
  <c r="K74" i="7" s="1"/>
  <c r="H72" i="7" a="1"/>
  <c r="H72" i="7" s="1"/>
  <c r="H74" i="7" s="1"/>
  <c r="J72" i="7" a="1"/>
  <c r="J72" i="7" s="1"/>
  <c r="J74" i="7" s="1"/>
  <c r="L72" i="7" a="1"/>
  <c r="L72" i="7" s="1"/>
  <c r="L74" i="7" s="1"/>
  <c r="E72" i="7" a="1"/>
  <c r="E72" i="7" s="1"/>
  <c r="E74" i="7" s="1"/>
  <c r="G72" i="7" a="1"/>
  <c r="G72" i="7" s="1"/>
  <c r="G74" i="7" s="1"/>
  <c r="F72" i="7" a="1"/>
  <c r="F72" i="7" s="1"/>
  <c r="F74" i="7" s="1"/>
  <c r="M72" i="7" a="1"/>
  <c r="M72" i="7" s="1"/>
  <c r="M74" i="7" s="1"/>
  <c r="M90" i="7"/>
  <c r="G90" i="7"/>
  <c r="L90" i="7"/>
  <c r="E90" i="7"/>
  <c r="I90" i="7"/>
  <c r="J90" i="7"/>
  <c r="F90" i="7"/>
  <c r="D88" i="7"/>
  <c r="K90" i="7"/>
  <c r="H90" i="7"/>
  <c r="E72" i="3" a="1"/>
  <c r="E72" i="3" s="1"/>
  <c r="E74" i="3" s="1"/>
  <c r="M72" i="3" a="1"/>
  <c r="M72" i="3" s="1"/>
  <c r="M74" i="3" s="1"/>
  <c r="J72" i="3" a="1"/>
  <c r="J72" i="3" s="1"/>
  <c r="J74" i="3" s="1"/>
  <c r="H72" i="3" a="1"/>
  <c r="H72" i="3" s="1"/>
  <c r="H74" i="3" s="1"/>
  <c r="L72" i="3" a="1"/>
  <c r="L72" i="3" s="1"/>
  <c r="L74" i="3" s="1"/>
  <c r="F72" i="3" a="1"/>
  <c r="F72" i="3" s="1"/>
  <c r="F74" i="3" s="1"/>
  <c r="G72" i="3" a="1"/>
  <c r="G72" i="3" s="1"/>
  <c r="G74" i="3" s="1"/>
  <c r="K72" i="3" a="1"/>
  <c r="K72" i="3" s="1"/>
  <c r="K74" i="3" s="1"/>
  <c r="L90" i="3"/>
  <c r="M97" i="3"/>
  <c r="L99" i="3"/>
  <c r="F102" i="3"/>
  <c r="F99" i="3"/>
  <c r="I95" i="3"/>
  <c r="G102" i="3"/>
  <c r="L102" i="3"/>
  <c r="L101" i="3"/>
  <c r="L96" i="3"/>
  <c r="K99" i="3"/>
  <c r="H101" i="3"/>
  <c r="E97" i="3"/>
  <c r="K102" i="3"/>
  <c r="E96" i="3"/>
  <c r="G99" i="3"/>
  <c r="K95" i="3"/>
  <c r="K90" i="3"/>
  <c r="H102" i="3"/>
  <c r="J94" i="3"/>
  <c r="G95" i="3"/>
  <c r="F95" i="3"/>
  <c r="M102" i="3"/>
  <c r="I102" i="3"/>
  <c r="K101" i="3"/>
  <c r="H100" i="3"/>
  <c r="I94" i="3"/>
  <c r="F98" i="3"/>
  <c r="J101" i="3"/>
  <c r="E101" i="3"/>
  <c r="L95" i="3"/>
  <c r="H95" i="3"/>
  <c r="I100" i="3"/>
  <c r="I90" i="3"/>
  <c r="L94" i="3"/>
  <c r="I99" i="3"/>
  <c r="G96" i="3"/>
  <c r="K94" i="3"/>
  <c r="G101" i="3"/>
  <c r="K97" i="3"/>
  <c r="J90" i="3"/>
  <c r="J95" i="3"/>
  <c r="L97" i="3"/>
  <c r="E100" i="3"/>
  <c r="M95" i="3"/>
  <c r="E102" i="3"/>
  <c r="E95" i="3"/>
  <c r="E99" i="3"/>
  <c r="G94" i="3"/>
  <c r="I98" i="3"/>
  <c r="M101" i="3"/>
  <c r="M98" i="3"/>
  <c r="J97" i="3"/>
  <c r="G90" i="3"/>
  <c r="M99" i="3"/>
  <c r="K96" i="3"/>
  <c r="G100" i="3"/>
  <c r="H98" i="3"/>
  <c r="D88" i="3"/>
  <c r="G98" i="3"/>
  <c r="J100" i="3"/>
  <c r="F100" i="3"/>
  <c r="J102" i="3"/>
  <c r="F101" i="3"/>
  <c r="F94" i="3"/>
  <c r="J96" i="3"/>
  <c r="M94" i="3"/>
  <c r="L98" i="3"/>
  <c r="F97" i="3"/>
  <c r="H90" i="3"/>
  <c r="I97" i="3"/>
  <c r="K98" i="3"/>
  <c r="H96" i="3"/>
  <c r="K100" i="3"/>
  <c r="M96" i="3"/>
  <c r="H97" i="3"/>
  <c r="G97" i="3"/>
  <c r="I96" i="3"/>
  <c r="F90" i="3"/>
  <c r="F96" i="3"/>
  <c r="J99" i="3"/>
  <c r="H99" i="3"/>
  <c r="H94" i="3"/>
  <c r="M100" i="3"/>
  <c r="E90" i="3"/>
  <c r="J98" i="3"/>
  <c r="I101" i="3"/>
  <c r="E94" i="3"/>
  <c r="M90" i="3"/>
  <c r="L100" i="3"/>
  <c r="E98" i="3"/>
  <c r="N90" i="7" l="1"/>
  <c r="B78" i="7" a="1"/>
  <c r="N103" i="3"/>
  <c r="B78" i="3" a="1"/>
  <c r="N103" i="7" l="1"/>
  <c r="L85" i="7"/>
  <c r="L113" i="7" s="1"/>
  <c r="F80" i="7"/>
  <c r="F108" i="7" s="1"/>
  <c r="J83" i="7"/>
  <c r="J111" i="7" s="1"/>
  <c r="L81" i="7"/>
  <c r="L109" i="7" s="1"/>
  <c r="H82" i="7"/>
  <c r="H110" i="7" s="1"/>
  <c r="G84" i="7"/>
  <c r="G112" i="7" s="1"/>
  <c r="J82" i="7"/>
  <c r="J110" i="7" s="1"/>
  <c r="M86" i="7"/>
  <c r="M114" i="7" s="1"/>
  <c r="H85" i="7"/>
  <c r="H113" i="7" s="1"/>
  <c r="K86" i="7"/>
  <c r="K114" i="7" s="1"/>
  <c r="M84" i="7"/>
  <c r="M112" i="7" s="1"/>
  <c r="E83" i="7"/>
  <c r="F84" i="7"/>
  <c r="F112" i="7" s="1"/>
  <c r="K82" i="7"/>
  <c r="K110" i="7" s="1"/>
  <c r="E85" i="7"/>
  <c r="K84" i="7"/>
  <c r="K112" i="7" s="1"/>
  <c r="H81" i="7"/>
  <c r="H109" i="7" s="1"/>
  <c r="J85" i="7"/>
  <c r="J113" i="7" s="1"/>
  <c r="G83" i="7"/>
  <c r="G111" i="7" s="1"/>
  <c r="I79" i="7"/>
  <c r="I107" i="7" s="1"/>
  <c r="G85" i="7"/>
  <c r="G113" i="7" s="1"/>
  <c r="G79" i="7"/>
  <c r="G107" i="7" s="1"/>
  <c r="G132" i="7" s="1"/>
  <c r="K83" i="7"/>
  <c r="K111" i="7" s="1"/>
  <c r="G81" i="7"/>
  <c r="G109" i="7" s="1"/>
  <c r="F82" i="7"/>
  <c r="F110" i="7" s="1"/>
  <c r="F79" i="7"/>
  <c r="F107" i="7" s="1"/>
  <c r="J80" i="7"/>
  <c r="J108" i="7" s="1"/>
  <c r="M83" i="7"/>
  <c r="M111" i="7" s="1"/>
  <c r="L82" i="7"/>
  <c r="L110" i="7" s="1"/>
  <c r="M82" i="7"/>
  <c r="M110" i="7" s="1"/>
  <c r="I81" i="7"/>
  <c r="I109" i="7" s="1"/>
  <c r="H83" i="7"/>
  <c r="H111" i="7" s="1"/>
  <c r="L79" i="7"/>
  <c r="L107" i="7" s="1"/>
  <c r="J84" i="7"/>
  <c r="J112" i="7" s="1"/>
  <c r="L86" i="7"/>
  <c r="L114" i="7" s="1"/>
  <c r="I80" i="7"/>
  <c r="I108" i="7" s="1"/>
  <c r="G80" i="7"/>
  <c r="G108" i="7" s="1"/>
  <c r="J79" i="7"/>
  <c r="J107" i="7" s="1"/>
  <c r="J81" i="7"/>
  <c r="J109" i="7" s="1"/>
  <c r="K85" i="7"/>
  <c r="K113" i="7" s="1"/>
  <c r="M79" i="7"/>
  <c r="M107" i="7" s="1"/>
  <c r="F81" i="7"/>
  <c r="F109" i="7" s="1"/>
  <c r="I84" i="7"/>
  <c r="I112" i="7" s="1"/>
  <c r="I83" i="7"/>
  <c r="I111" i="7" s="1"/>
  <c r="G82" i="7"/>
  <c r="G110" i="7" s="1"/>
  <c r="L83" i="7"/>
  <c r="L111" i="7" s="1"/>
  <c r="E80" i="7"/>
  <c r="M81" i="7"/>
  <c r="M109" i="7" s="1"/>
  <c r="I82" i="7"/>
  <c r="I110" i="7" s="1"/>
  <c r="E86" i="7"/>
  <c r="E82" i="7"/>
  <c r="H80" i="7"/>
  <c r="H108" i="7" s="1"/>
  <c r="K79" i="7"/>
  <c r="K107" i="7" s="1"/>
  <c r="L80" i="7"/>
  <c r="L108" i="7" s="1"/>
  <c r="M80" i="7"/>
  <c r="M108" i="7" s="1"/>
  <c r="I86" i="7"/>
  <c r="I114" i="7" s="1"/>
  <c r="H86" i="7"/>
  <c r="H114" i="7" s="1"/>
  <c r="G86" i="7"/>
  <c r="G114" i="7" s="1"/>
  <c r="I85" i="7"/>
  <c r="I113" i="7" s="1"/>
  <c r="F83" i="7"/>
  <c r="F111" i="7" s="1"/>
  <c r="E81" i="7"/>
  <c r="F86" i="7"/>
  <c r="F114" i="7" s="1"/>
  <c r="E84" i="7"/>
  <c r="K81" i="7"/>
  <c r="K109" i="7" s="1"/>
  <c r="B78" i="7"/>
  <c r="K80" i="7"/>
  <c r="K108" i="7" s="1"/>
  <c r="E79" i="7"/>
  <c r="J86" i="7"/>
  <c r="J114" i="7" s="1"/>
  <c r="H84" i="7"/>
  <c r="H112" i="7" s="1"/>
  <c r="M85" i="7"/>
  <c r="M113" i="7" s="1"/>
  <c r="F85" i="7"/>
  <c r="F113" i="7" s="1"/>
  <c r="L84" i="7"/>
  <c r="L112" i="7" s="1"/>
  <c r="H79" i="7"/>
  <c r="H107" i="7" s="1"/>
  <c r="K86" i="3"/>
  <c r="K114" i="3" s="1"/>
  <c r="H85" i="3"/>
  <c r="H113" i="3" s="1"/>
  <c r="E84" i="3"/>
  <c r="E112" i="3" s="1"/>
  <c r="K82" i="3"/>
  <c r="K110" i="3" s="1"/>
  <c r="H81" i="3"/>
  <c r="H109" i="3" s="1"/>
  <c r="E80" i="3"/>
  <c r="E108" i="3" s="1"/>
  <c r="M85" i="3"/>
  <c r="M113" i="3" s="1"/>
  <c r="J84" i="3"/>
  <c r="J112" i="3" s="1"/>
  <c r="G83" i="3"/>
  <c r="G111" i="3" s="1"/>
  <c r="M81" i="3"/>
  <c r="M109" i="3" s="1"/>
  <c r="J80" i="3"/>
  <c r="J108" i="3" s="1"/>
  <c r="G79" i="3"/>
  <c r="G107" i="3" s="1"/>
  <c r="E79" i="3"/>
  <c r="E107" i="3" s="1"/>
  <c r="M86" i="3"/>
  <c r="M114" i="3" s="1"/>
  <c r="J81" i="3"/>
  <c r="J109" i="3" s="1"/>
  <c r="L86" i="3"/>
  <c r="L114" i="3" s="1"/>
  <c r="I85" i="3"/>
  <c r="I113" i="3" s="1"/>
  <c r="L82" i="3"/>
  <c r="L110" i="3" s="1"/>
  <c r="J86" i="3"/>
  <c r="J114" i="3" s="1"/>
  <c r="G85" i="3"/>
  <c r="G113" i="3" s="1"/>
  <c r="M83" i="3"/>
  <c r="M111" i="3" s="1"/>
  <c r="J82" i="3"/>
  <c r="J110" i="3" s="1"/>
  <c r="G81" i="3"/>
  <c r="G109" i="3" s="1"/>
  <c r="M79" i="3"/>
  <c r="M107" i="3" s="1"/>
  <c r="I86" i="3"/>
  <c r="I114" i="3" s="1"/>
  <c r="F85" i="3"/>
  <c r="F113" i="3" s="1"/>
  <c r="L83" i="3"/>
  <c r="L111" i="3" s="1"/>
  <c r="I82" i="3"/>
  <c r="I110" i="3" s="1"/>
  <c r="F81" i="3"/>
  <c r="F109" i="3" s="1"/>
  <c r="L79" i="3"/>
  <c r="H86" i="3"/>
  <c r="H114" i="3" s="1"/>
  <c r="E85" i="3"/>
  <c r="E113" i="3" s="1"/>
  <c r="K83" i="3"/>
  <c r="K111" i="3" s="1"/>
  <c r="H82" i="3"/>
  <c r="H110" i="3" s="1"/>
  <c r="E81" i="3"/>
  <c r="E109" i="3" s="1"/>
  <c r="K79" i="3"/>
  <c r="K107" i="3" s="1"/>
  <c r="G86" i="3"/>
  <c r="G114" i="3" s="1"/>
  <c r="M84" i="3"/>
  <c r="M112" i="3" s="1"/>
  <c r="J83" i="3"/>
  <c r="J111" i="3" s="1"/>
  <c r="G82" i="3"/>
  <c r="G110" i="3" s="1"/>
  <c r="M80" i="3"/>
  <c r="M108" i="3" s="1"/>
  <c r="J79" i="3"/>
  <c r="J107" i="3" s="1"/>
  <c r="F86" i="3"/>
  <c r="F114" i="3" s="1"/>
  <c r="L84" i="3"/>
  <c r="L112" i="3" s="1"/>
  <c r="I83" i="3"/>
  <c r="I111" i="3" s="1"/>
  <c r="F82" i="3"/>
  <c r="F110" i="3" s="1"/>
  <c r="L80" i="3"/>
  <c r="L108" i="3" s="1"/>
  <c r="I79" i="3"/>
  <c r="I107" i="3" s="1"/>
  <c r="E86" i="3"/>
  <c r="E114" i="3" s="1"/>
  <c r="K84" i="3"/>
  <c r="K112" i="3" s="1"/>
  <c r="H83" i="3"/>
  <c r="H111" i="3" s="1"/>
  <c r="E82" i="3"/>
  <c r="E110" i="3" s="1"/>
  <c r="K80" i="3"/>
  <c r="K108" i="3" s="1"/>
  <c r="H79" i="3"/>
  <c r="H107" i="3" s="1"/>
  <c r="L85" i="3"/>
  <c r="L113" i="3" s="1"/>
  <c r="I84" i="3"/>
  <c r="I112" i="3" s="1"/>
  <c r="F83" i="3"/>
  <c r="F111" i="3" s="1"/>
  <c r="L81" i="3"/>
  <c r="L109" i="3" s="1"/>
  <c r="I80" i="3"/>
  <c r="I108" i="3" s="1"/>
  <c r="F79" i="3"/>
  <c r="F107" i="3" s="1"/>
  <c r="K85" i="3"/>
  <c r="K113" i="3" s="1"/>
  <c r="H84" i="3"/>
  <c r="H112" i="3" s="1"/>
  <c r="E83" i="3"/>
  <c r="E111" i="3" s="1"/>
  <c r="K81" i="3"/>
  <c r="K109" i="3" s="1"/>
  <c r="H80" i="3"/>
  <c r="H108" i="3" s="1"/>
  <c r="J85" i="3"/>
  <c r="J113" i="3" s="1"/>
  <c r="G84" i="3"/>
  <c r="G112" i="3" s="1"/>
  <c r="M82" i="3"/>
  <c r="M110" i="3" s="1"/>
  <c r="G80" i="3"/>
  <c r="G108" i="3" s="1"/>
  <c r="F84" i="3"/>
  <c r="F112" i="3" s="1"/>
  <c r="I81" i="3"/>
  <c r="I109" i="3" s="1"/>
  <c r="F80" i="3"/>
  <c r="F108" i="3" s="1"/>
  <c r="B78" i="3"/>
  <c r="I133" i="7" l="1"/>
  <c r="K132" i="7"/>
  <c r="L132" i="7"/>
  <c r="I132" i="7"/>
  <c r="H133" i="7"/>
  <c r="E123" i="7"/>
  <c r="E111" i="7"/>
  <c r="N111" i="7" s="1"/>
  <c r="E120" i="7"/>
  <c r="E108" i="7"/>
  <c r="M133" i="7"/>
  <c r="L133" i="7"/>
  <c r="M78" i="7"/>
  <c r="M106" i="7" s="1"/>
  <c r="J78" i="7"/>
  <c r="J106" i="7" s="1"/>
  <c r="H78" i="7"/>
  <c r="H106" i="7" s="1"/>
  <c r="I78" i="7"/>
  <c r="I106" i="7" s="1"/>
  <c r="G78" i="7"/>
  <c r="G106" i="7" s="1"/>
  <c r="L78" i="7"/>
  <c r="L106" i="7" s="1"/>
  <c r="K78" i="7"/>
  <c r="K106" i="7" s="1"/>
  <c r="E78" i="7"/>
  <c r="F78" i="7"/>
  <c r="F106" i="7" s="1"/>
  <c r="M132" i="7"/>
  <c r="E124" i="7"/>
  <c r="E112" i="7"/>
  <c r="N112" i="7" s="1"/>
  <c r="E122" i="7"/>
  <c r="E110" i="7"/>
  <c r="N110" i="7" s="1"/>
  <c r="J133" i="7"/>
  <c r="E125" i="7"/>
  <c r="E113" i="7"/>
  <c r="N113" i="7" s="1"/>
  <c r="E126" i="7"/>
  <c r="E114" i="7"/>
  <c r="N114" i="7" s="1"/>
  <c r="J132" i="7"/>
  <c r="F132" i="7"/>
  <c r="F133" i="7"/>
  <c r="E119" i="7"/>
  <c r="E107" i="7"/>
  <c r="K133" i="7"/>
  <c r="H132" i="7"/>
  <c r="E121" i="7"/>
  <c r="E109" i="7"/>
  <c r="N109" i="7" s="1"/>
  <c r="G133" i="7"/>
  <c r="L107" i="3"/>
  <c r="L132" i="3" s="1"/>
  <c r="H133" i="3"/>
  <c r="G132" i="3"/>
  <c r="K78" i="3"/>
  <c r="L78" i="3"/>
  <c r="J78" i="3"/>
  <c r="I78" i="3"/>
  <c r="H78" i="3"/>
  <c r="G78" i="3"/>
  <c r="F78" i="3"/>
  <c r="E78" i="3"/>
  <c r="E106" i="3" s="1"/>
  <c r="M78" i="3"/>
  <c r="J133" i="3"/>
  <c r="H132" i="3"/>
  <c r="L133" i="3"/>
  <c r="J132" i="3"/>
  <c r="F132" i="3"/>
  <c r="I133" i="3"/>
  <c r="K132" i="3"/>
  <c r="N110" i="3"/>
  <c r="M132" i="3"/>
  <c r="N111" i="3"/>
  <c r="I132" i="3"/>
  <c r="E125" i="3"/>
  <c r="E126" i="3"/>
  <c r="M133" i="3"/>
  <c r="E122" i="3"/>
  <c r="E123" i="3"/>
  <c r="G133" i="3"/>
  <c r="E121" i="3"/>
  <c r="K133" i="3"/>
  <c r="N113" i="3"/>
  <c r="N114" i="3"/>
  <c r="N109" i="3"/>
  <c r="N112" i="3"/>
  <c r="E120" i="3"/>
  <c r="E124" i="3"/>
  <c r="E119" i="3"/>
  <c r="F133" i="3"/>
  <c r="N108" i="3"/>
  <c r="H115" i="7" l="1"/>
  <c r="H131" i="7"/>
  <c r="M115" i="7"/>
  <c r="M131" i="7"/>
  <c r="N87" i="7"/>
  <c r="E118" i="7"/>
  <c r="E106" i="7"/>
  <c r="F125" i="7" a="1"/>
  <c r="F125" i="7" s="1"/>
  <c r="P120" i="7"/>
  <c r="F122" i="7" a="1"/>
  <c r="F122" i="7" s="1"/>
  <c r="P119" i="7"/>
  <c r="O120" i="7"/>
  <c r="N108" i="7"/>
  <c r="K120" i="7" s="1"/>
  <c r="F126" i="7" s="1" a="1"/>
  <c r="F126" i="7" s="1"/>
  <c r="E133" i="7"/>
  <c r="F131" i="7"/>
  <c r="F115" i="7"/>
  <c r="Q118" i="7"/>
  <c r="J120" i="7"/>
  <c r="G120" i="7" s="1" a="1"/>
  <c r="G120" i="7" s="1"/>
  <c r="K115" i="7"/>
  <c r="K131" i="7"/>
  <c r="Q119" i="7"/>
  <c r="I115" i="7"/>
  <c r="I131" i="7"/>
  <c r="J115" i="7"/>
  <c r="J131" i="7"/>
  <c r="N107" i="7"/>
  <c r="K119" i="7" s="1"/>
  <c r="E132" i="7"/>
  <c r="F119" i="7" a="1"/>
  <c r="F119" i="7" s="1"/>
  <c r="P118" i="7"/>
  <c r="J119" i="7"/>
  <c r="G125" i="7" s="1" a="1"/>
  <c r="G125" i="7" s="1"/>
  <c r="Q120" i="7"/>
  <c r="G126" i="7" a="1"/>
  <c r="G126" i="7" s="1"/>
  <c r="L115" i="7"/>
  <c r="L131" i="7"/>
  <c r="O119" i="7"/>
  <c r="G115" i="7"/>
  <c r="G131" i="7"/>
  <c r="N107" i="3"/>
  <c r="K119" i="3" s="1"/>
  <c r="F119" i="3" s="1" a="1"/>
  <c r="F119" i="3" s="1"/>
  <c r="I106" i="3"/>
  <c r="I131" i="3" s="1"/>
  <c r="L106" i="3"/>
  <c r="L131" i="3" s="1"/>
  <c r="F106" i="3"/>
  <c r="G106" i="3"/>
  <c r="G131" i="3" s="1"/>
  <c r="H106" i="3"/>
  <c r="H131" i="3" s="1"/>
  <c r="J106" i="3"/>
  <c r="J131" i="3" s="1"/>
  <c r="K106" i="3"/>
  <c r="K131" i="3" s="1"/>
  <c r="M106" i="3"/>
  <c r="M131" i="3" s="1"/>
  <c r="J119" i="3"/>
  <c r="G119" i="3" s="1" a="1"/>
  <c r="G119" i="3" s="1"/>
  <c r="J120" i="3"/>
  <c r="G123" i="3" s="1" a="1"/>
  <c r="G123" i="3" s="1"/>
  <c r="E118" i="3"/>
  <c r="E127" i="3" s="1"/>
  <c r="N87" i="3"/>
  <c r="E133" i="3"/>
  <c r="K120" i="3"/>
  <c r="F126" i="3" s="1" a="1"/>
  <c r="F126" i="3" s="1"/>
  <c r="E132" i="3"/>
  <c r="E131" i="3"/>
  <c r="L120" i="7" l="1"/>
  <c r="O139" i="7" s="1"/>
  <c r="G119" i="7" a="1"/>
  <c r="G119" i="7" s="1"/>
  <c r="L119" i="7"/>
  <c r="Q121" i="7"/>
  <c r="U118" i="7" s="1" a="1"/>
  <c r="F120" i="7" a="1"/>
  <c r="F120" i="7" s="1"/>
  <c r="E115" i="7"/>
  <c r="N115" i="7"/>
  <c r="N106" i="7"/>
  <c r="K118" i="7" s="1"/>
  <c r="F118" i="7" s="1" a="1"/>
  <c r="F118" i="7" s="1"/>
  <c r="E131" i="7"/>
  <c r="E127" i="7"/>
  <c r="O118" i="7"/>
  <c r="O121" i="7" s="1"/>
  <c r="S118" i="7" s="1" a="1"/>
  <c r="J118" i="7"/>
  <c r="G118" i="7" s="1" a="1"/>
  <c r="G118" i="7" s="1"/>
  <c r="F123" i="7" a="1"/>
  <c r="F123" i="7" s="1"/>
  <c r="G123" i="7" a="1"/>
  <c r="G123" i="7" s="1"/>
  <c r="O135" i="7"/>
  <c r="I145" i="7" a="1"/>
  <c r="I145" i="7" s="1"/>
  <c r="I158" i="7" s="1"/>
  <c r="L145" i="7" a="1"/>
  <c r="L145" i="7" s="1"/>
  <c r="L158" i="7" s="1"/>
  <c r="G145" i="7" a="1"/>
  <c r="G145" i="7" s="1"/>
  <c r="G158" i="7" s="1"/>
  <c r="F145" i="7" a="1"/>
  <c r="F145" i="7" s="1"/>
  <c r="F158" i="7" s="1"/>
  <c r="P121" i="7"/>
  <c r="T118" i="7" s="1" a="1"/>
  <c r="G122" i="7" a="1"/>
  <c r="G122" i="7" s="1"/>
  <c r="N106" i="3"/>
  <c r="K118" i="3" s="1"/>
  <c r="F118" i="3" s="1" a="1"/>
  <c r="F118" i="3" s="1"/>
  <c r="F131" i="3"/>
  <c r="N115" i="3"/>
  <c r="G126" i="3" a="1"/>
  <c r="G126" i="3" s="1"/>
  <c r="G120" i="3" a="1"/>
  <c r="G120" i="3" s="1"/>
  <c r="L119" i="3"/>
  <c r="G138" i="3" s="1" a="1"/>
  <c r="G138" i="3" s="1"/>
  <c r="G151" i="3" s="1"/>
  <c r="F120" i="3" a="1"/>
  <c r="F120" i="3" s="1"/>
  <c r="F122" i="3" a="1"/>
  <c r="F122" i="3" s="1"/>
  <c r="F125" i="3" a="1"/>
  <c r="F125" i="3" s="1"/>
  <c r="G122" i="3" a="1"/>
  <c r="G122" i="3" s="1"/>
  <c r="F123" i="3" a="1"/>
  <c r="F123" i="3" s="1"/>
  <c r="G125" i="3" a="1"/>
  <c r="G125" i="3" s="1"/>
  <c r="J118" i="3"/>
  <c r="L120" i="3"/>
  <c r="H142" i="3" s="1" a="1"/>
  <c r="H142" i="3" s="1"/>
  <c r="H155" i="3" s="1"/>
  <c r="K139" i="7" l="1" a="1"/>
  <c r="K139" i="7" s="1"/>
  <c r="K152" i="7" s="1"/>
  <c r="T152" i="7" s="1"/>
  <c r="J139" i="7" a="1"/>
  <c r="J139" i="7" s="1"/>
  <c r="J152" i="7" s="1"/>
  <c r="S152" i="7" s="1"/>
  <c r="J145" i="7" a="1"/>
  <c r="J145" i="7" s="1"/>
  <c r="J158" i="7" s="1"/>
  <c r="S158" i="7" s="1"/>
  <c r="M145" i="7" a="1"/>
  <c r="M145" i="7" s="1"/>
  <c r="M158" i="7" s="1"/>
  <c r="I139" i="7" a="1"/>
  <c r="I139" i="7" s="1"/>
  <c r="I152" i="7" s="1"/>
  <c r="G139" i="7" a="1"/>
  <c r="G139" i="7" s="1"/>
  <c r="G152" i="7" s="1"/>
  <c r="M139" i="7" a="1"/>
  <c r="M139" i="7" s="1"/>
  <c r="M152" i="7" s="1"/>
  <c r="H139" i="7" a="1"/>
  <c r="H139" i="7" s="1"/>
  <c r="H152" i="7" s="1"/>
  <c r="F139" i="7" a="1"/>
  <c r="F139" i="7" s="1"/>
  <c r="F152" i="7" s="1"/>
  <c r="O152" i="7" s="1"/>
  <c r="E145" i="7" a="1"/>
  <c r="E145" i="7" s="1"/>
  <c r="E158" i="7" s="1"/>
  <c r="N158" i="7" s="1"/>
  <c r="K145" i="7" a="1"/>
  <c r="K145" i="7" s="1"/>
  <c r="K158" i="7" s="1"/>
  <c r="L139" i="7" a="1"/>
  <c r="L139" i="7" s="1"/>
  <c r="L152" i="7" s="1"/>
  <c r="U152" i="7" s="1"/>
  <c r="Q139" i="7"/>
  <c r="S139" i="7"/>
  <c r="R139" i="7"/>
  <c r="T139" i="7"/>
  <c r="X139" i="7"/>
  <c r="W139" i="7"/>
  <c r="V139" i="7"/>
  <c r="U139" i="7"/>
  <c r="P139" i="7"/>
  <c r="H145" i="7" a="1"/>
  <c r="H145" i="7" s="1"/>
  <c r="H158" i="7" s="1"/>
  <c r="E139" i="7" a="1"/>
  <c r="E139" i="7" s="1"/>
  <c r="E152" i="7" s="1"/>
  <c r="F144" i="7" a="1"/>
  <c r="F144" i="7" s="1"/>
  <c r="F157" i="7" s="1"/>
  <c r="O157" i="7" s="1"/>
  <c r="H144" i="7" a="1"/>
  <c r="H144" i="7" s="1"/>
  <c r="H157" i="7" s="1"/>
  <c r="Q157" i="7" s="1"/>
  <c r="F138" i="7" a="1"/>
  <c r="F138" i="7" s="1"/>
  <c r="F151" i="7" s="1"/>
  <c r="O151" i="7" s="1"/>
  <c r="K138" i="7" a="1"/>
  <c r="K138" i="7" s="1"/>
  <c r="K151" i="7" s="1"/>
  <c r="T151" i="7" s="1"/>
  <c r="M138" i="7" a="1"/>
  <c r="M138" i="7" s="1"/>
  <c r="M151" i="7" s="1"/>
  <c r="V151" i="7" s="1"/>
  <c r="K144" i="7" a="1"/>
  <c r="K144" i="7" s="1"/>
  <c r="K157" i="7" s="1"/>
  <c r="T157" i="7" s="1"/>
  <c r="J138" i="7" a="1"/>
  <c r="J138" i="7" s="1"/>
  <c r="J151" i="7" s="1"/>
  <c r="S151" i="7" s="1"/>
  <c r="M144" i="7" a="1"/>
  <c r="M144" i="7" s="1"/>
  <c r="M157" i="7" s="1"/>
  <c r="V157" i="7" s="1"/>
  <c r="E144" i="7" a="1"/>
  <c r="E144" i="7" s="1"/>
  <c r="E157" i="7" s="1"/>
  <c r="N157" i="7" s="1"/>
  <c r="H138" i="7" a="1"/>
  <c r="H138" i="7" s="1"/>
  <c r="H151" i="7" s="1"/>
  <c r="Q151" i="7" s="1"/>
  <c r="I144" i="7" a="1"/>
  <c r="I144" i="7" s="1"/>
  <c r="I157" i="7" s="1"/>
  <c r="R157" i="7" s="1"/>
  <c r="E138" i="7" a="1"/>
  <c r="E138" i="7" s="1"/>
  <c r="E151" i="7" s="1"/>
  <c r="N151" i="7" s="1"/>
  <c r="I138" i="7" a="1"/>
  <c r="I138" i="7" s="1"/>
  <c r="I151" i="7" s="1"/>
  <c r="R151" i="7" s="1"/>
  <c r="L138" i="7" a="1"/>
  <c r="L138" i="7" s="1"/>
  <c r="L151" i="7" s="1"/>
  <c r="U151" i="7" s="1"/>
  <c r="G138" i="7" a="1"/>
  <c r="G138" i="7" s="1"/>
  <c r="G151" i="7" s="1"/>
  <c r="P151" i="7" s="1"/>
  <c r="T118" i="7"/>
  <c r="S118" i="7"/>
  <c r="V158" i="7"/>
  <c r="L144" i="7" a="1"/>
  <c r="L144" i="7" s="1"/>
  <c r="L157" i="7" s="1"/>
  <c r="F124" i="7" a="1"/>
  <c r="F124" i="7" s="1"/>
  <c r="F121" i="7" a="1"/>
  <c r="F121" i="7" s="1"/>
  <c r="T158" i="7"/>
  <c r="U118" i="7"/>
  <c r="U158" i="7"/>
  <c r="Q152" i="7"/>
  <c r="O158" i="7"/>
  <c r="P158" i="7"/>
  <c r="R158" i="7"/>
  <c r="P152" i="7"/>
  <c r="V152" i="7"/>
  <c r="W135" i="7"/>
  <c r="X135" i="7"/>
  <c r="U135" i="7"/>
  <c r="P135" i="7"/>
  <c r="R135" i="7"/>
  <c r="V135" i="7"/>
  <c r="T135" i="7"/>
  <c r="S135" i="7"/>
  <c r="Q135" i="7"/>
  <c r="G144" i="7" a="1"/>
  <c r="G144" i="7" s="1"/>
  <c r="G157" i="7" s="1"/>
  <c r="R152" i="7"/>
  <c r="G141" i="7" a="1"/>
  <c r="G141" i="7" s="1"/>
  <c r="G154" i="7" s="1"/>
  <c r="E141" i="7" a="1"/>
  <c r="E141" i="7" s="1"/>
  <c r="E154" i="7" s="1"/>
  <c r="I141" i="7" a="1"/>
  <c r="I141" i="7" s="1"/>
  <c r="I154" i="7" s="1"/>
  <c r="L141" i="7" a="1"/>
  <c r="L141" i="7" s="1"/>
  <c r="L154" i="7" s="1"/>
  <c r="F141" i="7" a="1"/>
  <c r="F141" i="7" s="1"/>
  <c r="F154" i="7" s="1"/>
  <c r="M141" i="7" a="1"/>
  <c r="M141" i="7" s="1"/>
  <c r="M154" i="7" s="1"/>
  <c r="K141" i="7" a="1"/>
  <c r="K141" i="7" s="1"/>
  <c r="K154" i="7" s="1"/>
  <c r="H141" i="7" a="1"/>
  <c r="H141" i="7" s="1"/>
  <c r="H154" i="7" s="1"/>
  <c r="J141" i="7" a="1"/>
  <c r="J141" i="7" s="1"/>
  <c r="J154" i="7" s="1"/>
  <c r="H142" i="7" a="1"/>
  <c r="H142" i="7" s="1"/>
  <c r="H155" i="7" s="1"/>
  <c r="M142" i="7" a="1"/>
  <c r="M142" i="7" s="1"/>
  <c r="M155" i="7" s="1"/>
  <c r="M179" i="7" s="1"/>
  <c r="M183" i="7" s="1"/>
  <c r="I142" i="7" a="1"/>
  <c r="I142" i="7" s="1"/>
  <c r="I155" i="7" s="1"/>
  <c r="I179" i="7" s="1"/>
  <c r="I183" i="7" s="1"/>
  <c r="L142" i="7" a="1"/>
  <c r="L142" i="7" s="1"/>
  <c r="L155" i="7" s="1"/>
  <c r="K142" i="7" a="1"/>
  <c r="K142" i="7" s="1"/>
  <c r="K155" i="7" s="1"/>
  <c r="F142" i="7" a="1"/>
  <c r="F142" i="7" s="1"/>
  <c r="F155" i="7" s="1"/>
  <c r="F179" i="7" s="1"/>
  <c r="F183" i="7" s="1"/>
  <c r="E142" i="7" a="1"/>
  <c r="E142" i="7" s="1"/>
  <c r="E155" i="7" s="1"/>
  <c r="G142" i="7" a="1"/>
  <c r="G142" i="7" s="1"/>
  <c r="G155" i="7" s="1"/>
  <c r="J142" i="7" a="1"/>
  <c r="J142" i="7" s="1"/>
  <c r="J155" i="7" s="1"/>
  <c r="L118" i="7"/>
  <c r="O131" i="7" s="1"/>
  <c r="G124" i="7" a="1"/>
  <c r="G124" i="7" s="1"/>
  <c r="G121" i="7" a="1"/>
  <c r="G121" i="7" s="1"/>
  <c r="J144" i="7" a="1"/>
  <c r="J144" i="7" s="1"/>
  <c r="J157" i="7" s="1"/>
  <c r="L118" i="3"/>
  <c r="F121" i="3" a="1"/>
  <c r="F121" i="3" s="1"/>
  <c r="F124" i="3" a="1"/>
  <c r="F124" i="3" s="1"/>
  <c r="K138" i="3" a="1"/>
  <c r="K138" i="3" s="1"/>
  <c r="K151" i="3" s="1"/>
  <c r="I138" i="3" a="1"/>
  <c r="I138" i="3" s="1"/>
  <c r="I151" i="3" s="1"/>
  <c r="G144" i="3" a="1"/>
  <c r="G144" i="3" s="1"/>
  <c r="G157" i="3" s="1"/>
  <c r="G141" i="3" a="1"/>
  <c r="G141" i="3" s="1"/>
  <c r="G154" i="3" s="1"/>
  <c r="F138" i="3" a="1"/>
  <c r="F138" i="3" s="1"/>
  <c r="F151" i="3" s="1"/>
  <c r="H138" i="3" a="1"/>
  <c r="H138" i="3" s="1"/>
  <c r="H151" i="3" s="1"/>
  <c r="L138" i="3" a="1"/>
  <c r="L138" i="3" s="1"/>
  <c r="L151" i="3" s="1"/>
  <c r="M138" i="3" a="1"/>
  <c r="M138" i="3" s="1"/>
  <c r="M151" i="3" s="1"/>
  <c r="E138" i="3" a="1"/>
  <c r="E138" i="3" s="1"/>
  <c r="E151" i="3" s="1"/>
  <c r="J138" i="3" a="1"/>
  <c r="J138" i="3" s="1"/>
  <c r="J151" i="3" s="1"/>
  <c r="E145" i="3" a="1"/>
  <c r="E145" i="3" s="1"/>
  <c r="E158" i="3" s="1"/>
  <c r="H145" i="3" a="1"/>
  <c r="H145" i="3" s="1"/>
  <c r="H158" i="3" s="1"/>
  <c r="M139" i="3" a="1"/>
  <c r="M139" i="3" s="1"/>
  <c r="M152" i="3" s="1"/>
  <c r="L141" i="3" a="1"/>
  <c r="L141" i="3" s="1"/>
  <c r="L154" i="3" s="1"/>
  <c r="M141" i="3" a="1"/>
  <c r="M141" i="3" s="1"/>
  <c r="M154" i="3" s="1"/>
  <c r="E141" i="3" a="1"/>
  <c r="E141" i="3" s="1"/>
  <c r="E154" i="3" s="1"/>
  <c r="F141" i="3" a="1"/>
  <c r="F141" i="3" s="1"/>
  <c r="F154" i="3" s="1"/>
  <c r="J141" i="3" a="1"/>
  <c r="J141" i="3" s="1"/>
  <c r="J154" i="3" s="1"/>
  <c r="H144" i="3" a="1"/>
  <c r="H144" i="3" s="1"/>
  <c r="H157" i="3" s="1"/>
  <c r="I144" i="3" a="1"/>
  <c r="I144" i="3" s="1"/>
  <c r="I157" i="3" s="1"/>
  <c r="J144" i="3" a="1"/>
  <c r="J144" i="3" s="1"/>
  <c r="J157" i="3" s="1"/>
  <c r="E144" i="3" a="1"/>
  <c r="E144" i="3" s="1"/>
  <c r="E157" i="3" s="1"/>
  <c r="H141" i="3" a="1"/>
  <c r="H141" i="3" s="1"/>
  <c r="H154" i="3" s="1"/>
  <c r="K144" i="3" a="1"/>
  <c r="K144" i="3" s="1"/>
  <c r="K157" i="3" s="1"/>
  <c r="I141" i="3" a="1"/>
  <c r="I141" i="3" s="1"/>
  <c r="I154" i="3" s="1"/>
  <c r="F144" i="3" a="1"/>
  <c r="F144" i="3" s="1"/>
  <c r="F157" i="3" s="1"/>
  <c r="G118" i="3" a="1"/>
  <c r="G118" i="3" s="1"/>
  <c r="K141" i="3" a="1"/>
  <c r="K141" i="3" s="1"/>
  <c r="K154" i="3" s="1"/>
  <c r="L144" i="3" a="1"/>
  <c r="L144" i="3" s="1"/>
  <c r="L157" i="3" s="1"/>
  <c r="G139" i="3" a="1"/>
  <c r="G139" i="3" s="1"/>
  <c r="G152" i="3" s="1"/>
  <c r="I139" i="3" a="1"/>
  <c r="I139" i="3" s="1"/>
  <c r="I152" i="3" s="1"/>
  <c r="L139" i="3" a="1"/>
  <c r="L139" i="3" s="1"/>
  <c r="L152" i="3" s="1"/>
  <c r="I145" i="3" a="1"/>
  <c r="I145" i="3" s="1"/>
  <c r="I158" i="3" s="1"/>
  <c r="J145" i="3" a="1"/>
  <c r="J145" i="3" s="1"/>
  <c r="J158" i="3" s="1"/>
  <c r="E139" i="3" a="1"/>
  <c r="E139" i="3" s="1"/>
  <c r="E152" i="3" s="1"/>
  <c r="F145" i="3" a="1"/>
  <c r="F145" i="3" s="1"/>
  <c r="F158" i="3" s="1"/>
  <c r="L145" i="3" a="1"/>
  <c r="L145" i="3" s="1"/>
  <c r="L158" i="3" s="1"/>
  <c r="F142" i="3" a="1"/>
  <c r="F142" i="3" s="1"/>
  <c r="F155" i="3" s="1"/>
  <c r="J142" i="3" a="1"/>
  <c r="J142" i="3" s="1"/>
  <c r="J155" i="3" s="1"/>
  <c r="G121" i="3" a="1"/>
  <c r="G121" i="3" s="1"/>
  <c r="M145" i="3" a="1"/>
  <c r="M145" i="3" s="1"/>
  <c r="M158" i="3" s="1"/>
  <c r="G124" i="3" a="1"/>
  <c r="G124" i="3" s="1"/>
  <c r="M144" i="3" a="1"/>
  <c r="M144" i="3" s="1"/>
  <c r="M157" i="3" s="1"/>
  <c r="E142" i="3" a="1"/>
  <c r="E142" i="3" s="1"/>
  <c r="E155" i="3" s="1"/>
  <c r="M142" i="3" a="1"/>
  <c r="M142" i="3" s="1"/>
  <c r="M155" i="3" s="1"/>
  <c r="G142" i="3" a="1"/>
  <c r="G142" i="3" s="1"/>
  <c r="G155" i="3" s="1"/>
  <c r="K142" i="3" a="1"/>
  <c r="K142" i="3" s="1"/>
  <c r="K155" i="3" s="1"/>
  <c r="F139" i="3" a="1"/>
  <c r="F139" i="3" s="1"/>
  <c r="F152" i="3" s="1"/>
  <c r="L142" i="3" a="1"/>
  <c r="L142" i="3" s="1"/>
  <c r="L155" i="3" s="1"/>
  <c r="I142" i="3" a="1"/>
  <c r="I142" i="3" s="1"/>
  <c r="I155" i="3" s="1"/>
  <c r="H139" i="3" a="1"/>
  <c r="H139" i="3" s="1"/>
  <c r="H152" i="3" s="1"/>
  <c r="J139" i="3" a="1"/>
  <c r="J139" i="3" s="1"/>
  <c r="J152" i="3" s="1"/>
  <c r="G145" i="3" a="1"/>
  <c r="G145" i="3" s="1"/>
  <c r="G158" i="3" s="1"/>
  <c r="K139" i="3" a="1"/>
  <c r="K139" i="3" s="1"/>
  <c r="K152" i="3" s="1"/>
  <c r="K145" i="3" a="1"/>
  <c r="K145" i="3" s="1"/>
  <c r="K158" i="3" s="1"/>
  <c r="F196" i="7" l="1"/>
  <c r="F190" i="7"/>
  <c r="K179" i="7"/>
  <c r="K183" i="7" s="1"/>
  <c r="N152" i="7"/>
  <c r="Q158" i="7"/>
  <c r="W158" i="7" s="1"/>
  <c r="E179" i="7"/>
  <c r="E183" i="7" s="1"/>
  <c r="P140" i="7" a="1"/>
  <c r="P140" i="7" s="1"/>
  <c r="G127" i="7"/>
  <c r="H178" i="7"/>
  <c r="H182" i="7" s="1"/>
  <c r="F189" i="7"/>
  <c r="K178" i="7"/>
  <c r="K182" i="7" s="1"/>
  <c r="F137" i="7" a="1"/>
  <c r="F137" i="7" s="1"/>
  <c r="F150" i="7" s="1"/>
  <c r="O150" i="7" s="1"/>
  <c r="M137" i="7" a="1"/>
  <c r="M137" i="7" s="1"/>
  <c r="M150" i="7" s="1"/>
  <c r="V150" i="7" s="1"/>
  <c r="H137" i="7" a="1"/>
  <c r="H137" i="7" s="1"/>
  <c r="H150" i="7" s="1"/>
  <c r="Q150" i="7" s="1"/>
  <c r="E137" i="7" a="1"/>
  <c r="E137" i="7" s="1"/>
  <c r="E150" i="7" s="1"/>
  <c r="N150" i="7" s="1"/>
  <c r="E178" i="7"/>
  <c r="E182" i="7" s="1"/>
  <c r="P136" i="7" a="1"/>
  <c r="P136" i="7" s="1"/>
  <c r="S155" i="7"/>
  <c r="V154" i="7"/>
  <c r="P155" i="7"/>
  <c r="O154" i="7"/>
  <c r="M178" i="7"/>
  <c r="M182" i="7" s="1"/>
  <c r="N155" i="7"/>
  <c r="F193" i="7"/>
  <c r="U154" i="7"/>
  <c r="O155" i="7"/>
  <c r="R154" i="7"/>
  <c r="L178" i="7"/>
  <c r="L182" i="7" s="1"/>
  <c r="I137" i="7" a="1"/>
  <c r="I137" i="7" s="1"/>
  <c r="I150" i="7" s="1"/>
  <c r="P157" i="7"/>
  <c r="W151" i="7"/>
  <c r="P154" i="7"/>
  <c r="S157" i="7"/>
  <c r="Q155" i="7"/>
  <c r="H179" i="7"/>
  <c r="H183" i="7" s="1"/>
  <c r="W152" i="7"/>
  <c r="J137" i="7" a="1"/>
  <c r="J137" i="7" s="1"/>
  <c r="J150" i="7" s="1"/>
  <c r="N154" i="7"/>
  <c r="F192" i="7"/>
  <c r="U155" i="7"/>
  <c r="F195" i="7"/>
  <c r="G140" i="7" a="1"/>
  <c r="G140" i="7" s="1"/>
  <c r="G153" i="7" s="1"/>
  <c r="I140" i="7" a="1"/>
  <c r="I140" i="7" s="1"/>
  <c r="I153" i="7" s="1"/>
  <c r="M140" i="7" a="1"/>
  <c r="M140" i="7" s="1"/>
  <c r="M153" i="7" s="1"/>
  <c r="K140" i="7" a="1"/>
  <c r="K140" i="7" s="1"/>
  <c r="K153" i="7" s="1"/>
  <c r="J140" i="7" a="1"/>
  <c r="J140" i="7" s="1"/>
  <c r="J153" i="7" s="1"/>
  <c r="S153" i="7" s="1"/>
  <c r="L140" i="7" a="1"/>
  <c r="L140" i="7" s="1"/>
  <c r="L153" i="7" s="1"/>
  <c r="U153" i="7" s="1"/>
  <c r="E140" i="7" a="1"/>
  <c r="E140" i="7" s="1"/>
  <c r="E153" i="7" s="1"/>
  <c r="H140" i="7" a="1"/>
  <c r="H140" i="7" s="1"/>
  <c r="H153" i="7" s="1"/>
  <c r="F140" i="7" a="1"/>
  <c r="F140" i="7" s="1"/>
  <c r="F153" i="7" s="1"/>
  <c r="S154" i="7"/>
  <c r="G178" i="7"/>
  <c r="G182" i="7" s="1"/>
  <c r="F178" i="7"/>
  <c r="F182" i="7" s="1"/>
  <c r="U157" i="7"/>
  <c r="K137" i="7" a="1"/>
  <c r="K137" i="7" s="1"/>
  <c r="K150" i="7" s="1"/>
  <c r="T155" i="7"/>
  <c r="R155" i="7"/>
  <c r="J179" i="7"/>
  <c r="J183" i="7" s="1"/>
  <c r="M140" i="3" a="1"/>
  <c r="M140" i="3" s="1"/>
  <c r="M153" i="3" s="1"/>
  <c r="G143" i="7" a="1"/>
  <c r="G143" i="7" s="1"/>
  <c r="G156" i="7" s="1"/>
  <c r="M143" i="7" a="1"/>
  <c r="M143" i="7" s="1"/>
  <c r="M156" i="7" s="1"/>
  <c r="F143" i="7" a="1"/>
  <c r="F143" i="7" s="1"/>
  <c r="F156" i="7" s="1"/>
  <c r="O156" i="7" s="1"/>
  <c r="K143" i="7" a="1"/>
  <c r="K143" i="7" s="1"/>
  <c r="K156" i="7" s="1"/>
  <c r="H143" i="7" a="1"/>
  <c r="H143" i="7" s="1"/>
  <c r="H156" i="7" s="1"/>
  <c r="I143" i="7" a="1"/>
  <c r="I143" i="7" s="1"/>
  <c r="I156" i="7" s="1"/>
  <c r="R156" i="7" s="1"/>
  <c r="L143" i="7" a="1"/>
  <c r="L143" i="7" s="1"/>
  <c r="L156" i="7" s="1"/>
  <c r="E143" i="7" a="1"/>
  <c r="E143" i="7" s="1"/>
  <c r="E156" i="7" s="1"/>
  <c r="J143" i="7" a="1"/>
  <c r="J143" i="7" s="1"/>
  <c r="J156" i="7" s="1"/>
  <c r="Q154" i="7"/>
  <c r="G179" i="7"/>
  <c r="G183" i="7" s="1"/>
  <c r="L137" i="7" a="1"/>
  <c r="L137" i="7" s="1"/>
  <c r="L150" i="7" s="1"/>
  <c r="L179" i="7"/>
  <c r="L183" i="7" s="1"/>
  <c r="V155" i="7"/>
  <c r="F143" i="3" a="1"/>
  <c r="F143" i="3" s="1"/>
  <c r="F156" i="3" s="1"/>
  <c r="J137" i="3" a="1"/>
  <c r="J137" i="3" s="1"/>
  <c r="J150" i="3" s="1"/>
  <c r="P131" i="7"/>
  <c r="Q131" i="7"/>
  <c r="R131" i="7"/>
  <c r="W131" i="7"/>
  <c r="U131" i="7"/>
  <c r="S131" i="7"/>
  <c r="T131" i="7"/>
  <c r="V131" i="7"/>
  <c r="X131" i="7"/>
  <c r="T154" i="7"/>
  <c r="J178" i="7"/>
  <c r="J182" i="7" s="1"/>
  <c r="I178" i="7"/>
  <c r="I182" i="7" s="1"/>
  <c r="G137" i="7" a="1"/>
  <c r="G137" i="7" s="1"/>
  <c r="G150" i="7" s="1"/>
  <c r="G178" i="3"/>
  <c r="G182" i="3" s="1"/>
  <c r="F189" i="3"/>
  <c r="F193" i="3"/>
  <c r="F192" i="3"/>
  <c r="F190" i="3"/>
  <c r="F196" i="3"/>
  <c r="F195" i="3"/>
  <c r="H179" i="3"/>
  <c r="H183" i="3" s="1"/>
  <c r="M178" i="3"/>
  <c r="M182" i="3" s="1"/>
  <c r="J178" i="3"/>
  <c r="J182" i="3" s="1"/>
  <c r="L178" i="3"/>
  <c r="L182" i="3" s="1"/>
  <c r="E178" i="3"/>
  <c r="E182" i="3" s="1"/>
  <c r="F179" i="3"/>
  <c r="F183" i="3" s="1"/>
  <c r="I178" i="3"/>
  <c r="I182" i="3" s="1"/>
  <c r="H178" i="3"/>
  <c r="H182" i="3" s="1"/>
  <c r="F178" i="3"/>
  <c r="F182" i="3" s="1"/>
  <c r="G143" i="3" a="1"/>
  <c r="G143" i="3" s="1"/>
  <c r="G156" i="3" s="1"/>
  <c r="G140" i="3" a="1"/>
  <c r="G140" i="3" s="1"/>
  <c r="G153" i="3" s="1"/>
  <c r="K178" i="3"/>
  <c r="K182" i="3" s="1"/>
  <c r="J140" i="3" a="1"/>
  <c r="J140" i="3" s="1"/>
  <c r="J153" i="3" s="1"/>
  <c r="E140" i="3" a="1"/>
  <c r="E140" i="3" s="1"/>
  <c r="E153" i="3" s="1"/>
  <c r="I137" i="3" a="1"/>
  <c r="I137" i="3" s="1"/>
  <c r="I150" i="3" s="1"/>
  <c r="G137" i="3" a="1"/>
  <c r="G137" i="3" s="1"/>
  <c r="G150" i="3" s="1"/>
  <c r="M137" i="3" a="1"/>
  <c r="M137" i="3" s="1"/>
  <c r="M150" i="3" s="1"/>
  <c r="E137" i="3" a="1"/>
  <c r="E137" i="3" s="1"/>
  <c r="E150" i="3" s="1"/>
  <c r="G179" i="3"/>
  <c r="G183" i="3" s="1"/>
  <c r="J179" i="3"/>
  <c r="J183" i="3" s="1"/>
  <c r="H140" i="3" a="1"/>
  <c r="H140" i="3" s="1"/>
  <c r="H153" i="3" s="1"/>
  <c r="I140" i="3" a="1"/>
  <c r="I140" i="3" s="1"/>
  <c r="I153" i="3" s="1"/>
  <c r="F137" i="3" a="1"/>
  <c r="F137" i="3" s="1"/>
  <c r="F150" i="3" s="1"/>
  <c r="L137" i="3" a="1"/>
  <c r="L137" i="3" s="1"/>
  <c r="L150" i="3" s="1"/>
  <c r="K137" i="3" a="1"/>
  <c r="K137" i="3" s="1"/>
  <c r="K150" i="3" s="1"/>
  <c r="H137" i="3" a="1"/>
  <c r="H137" i="3" s="1"/>
  <c r="H150" i="3" s="1"/>
  <c r="K143" i="3" a="1"/>
  <c r="K143" i="3" s="1"/>
  <c r="K156" i="3" s="1"/>
  <c r="L143" i="3" a="1"/>
  <c r="L143" i="3" s="1"/>
  <c r="L156" i="3" s="1"/>
  <c r="M143" i="3" a="1"/>
  <c r="M143" i="3" s="1"/>
  <c r="M156" i="3" s="1"/>
  <c r="J143" i="3" a="1"/>
  <c r="J143" i="3" s="1"/>
  <c r="J156" i="3" s="1"/>
  <c r="I179" i="3"/>
  <c r="I183" i="3" s="1"/>
  <c r="I143" i="3" a="1"/>
  <c r="I143" i="3" s="1"/>
  <c r="I156" i="3" s="1"/>
  <c r="L179" i="3"/>
  <c r="L183" i="3" s="1"/>
  <c r="H143" i="3" a="1"/>
  <c r="H143" i="3" s="1"/>
  <c r="H156" i="3" s="1"/>
  <c r="E143" i="3" a="1"/>
  <c r="E143" i="3" s="1"/>
  <c r="E156" i="3" s="1"/>
  <c r="K140" i="3" a="1"/>
  <c r="K140" i="3" s="1"/>
  <c r="K153" i="3" s="1"/>
  <c r="G127" i="3"/>
  <c r="F140" i="3" a="1"/>
  <c r="F140" i="3" s="1"/>
  <c r="F153" i="3" s="1"/>
  <c r="M179" i="3"/>
  <c r="M183" i="3" s="1"/>
  <c r="E179" i="3"/>
  <c r="E183" i="3" s="1"/>
  <c r="L140" i="3" a="1"/>
  <c r="L140" i="3" s="1"/>
  <c r="L153" i="3" s="1"/>
  <c r="K179" i="3"/>
  <c r="K183" i="3" s="1"/>
  <c r="W157" i="7" l="1"/>
  <c r="F188" i="7"/>
  <c r="M177" i="7"/>
  <c r="M181" i="7" s="1"/>
  <c r="M184" i="7" s="1"/>
  <c r="M204" i="7" s="1"/>
  <c r="E177" i="7"/>
  <c r="E181" i="7" s="1"/>
  <c r="E184" i="7" s="1"/>
  <c r="E203" i="7" s="1"/>
  <c r="N183" i="7"/>
  <c r="H177" i="7"/>
  <c r="H181" i="7" s="1"/>
  <c r="H184" i="7" s="1"/>
  <c r="H204" i="7" s="1"/>
  <c r="N182" i="7"/>
  <c r="F177" i="7"/>
  <c r="F181" i="7" s="1"/>
  <c r="F184" i="7" s="1"/>
  <c r="F204" i="7" s="1"/>
  <c r="P153" i="7"/>
  <c r="S156" i="7"/>
  <c r="W155" i="7"/>
  <c r="F194" i="7"/>
  <c r="N156" i="7"/>
  <c r="U156" i="7"/>
  <c r="P150" i="7"/>
  <c r="G177" i="7"/>
  <c r="G181" i="7" s="1"/>
  <c r="G184" i="7" s="1"/>
  <c r="G200" i="7" s="1"/>
  <c r="V156" i="7"/>
  <c r="K177" i="7"/>
  <c r="K181" i="7" s="1"/>
  <c r="K184" i="7" s="1"/>
  <c r="K200" i="7" s="1"/>
  <c r="T150" i="7"/>
  <c r="O153" i="7"/>
  <c r="Q153" i="7"/>
  <c r="P132" i="7" a="1"/>
  <c r="P132" i="7" s="1"/>
  <c r="L177" i="7"/>
  <c r="L181" i="7" s="1"/>
  <c r="L184" i="7" s="1"/>
  <c r="L200" i="7" s="1"/>
  <c r="U150" i="7"/>
  <c r="P156" i="7"/>
  <c r="T153" i="7"/>
  <c r="W154" i="7"/>
  <c r="Q156" i="7"/>
  <c r="N153" i="7"/>
  <c r="F191" i="7"/>
  <c r="V153" i="7"/>
  <c r="S150" i="7"/>
  <c r="J177" i="7"/>
  <c r="J181" i="7" s="1"/>
  <c r="J184" i="7" s="1"/>
  <c r="J200" i="7" s="1"/>
  <c r="I177" i="7"/>
  <c r="I181" i="7" s="1"/>
  <c r="I184" i="7" s="1"/>
  <c r="I203" i="7" s="1"/>
  <c r="R150" i="7"/>
  <c r="N159" i="7"/>
  <c r="T156" i="7"/>
  <c r="R153" i="7"/>
  <c r="J177" i="3"/>
  <c r="J181" i="3" s="1"/>
  <c r="J184" i="3" s="1"/>
  <c r="J200" i="3" s="1"/>
  <c r="F188" i="3"/>
  <c r="F191" i="3"/>
  <c r="F194" i="3"/>
  <c r="E5" i="4" a="1"/>
  <c r="M177" i="3"/>
  <c r="M181" i="3" s="1"/>
  <c r="M184" i="3" s="1"/>
  <c r="M201" i="3" s="1"/>
  <c r="L177" i="3"/>
  <c r="L181" i="3" s="1"/>
  <c r="L184" i="3" s="1"/>
  <c r="L201" i="3" s="1"/>
  <c r="G177" i="3"/>
  <c r="G181" i="3" s="1"/>
  <c r="G184" i="3" s="1"/>
  <c r="G207" i="3" s="1"/>
  <c r="E177" i="3"/>
  <c r="E181" i="3" s="1"/>
  <c r="E184" i="3" s="1"/>
  <c r="I177" i="3"/>
  <c r="I181" i="3" s="1"/>
  <c r="I184" i="3" s="1"/>
  <c r="I200" i="3" s="1"/>
  <c r="N159" i="3"/>
  <c r="H177" i="3"/>
  <c r="H181" i="3" s="1"/>
  <c r="H184" i="3" s="1"/>
  <c r="H200" i="3" s="1"/>
  <c r="K177" i="3"/>
  <c r="K181" i="3" s="1"/>
  <c r="K184" i="3" s="1"/>
  <c r="F177" i="3"/>
  <c r="F181" i="3" s="1"/>
  <c r="F184" i="3" s="1"/>
  <c r="F204" i="3" s="1"/>
  <c r="I200" i="7" l="1"/>
  <c r="M201" i="7"/>
  <c r="H207" i="7"/>
  <c r="H202" i="7"/>
  <c r="H201" i="7"/>
  <c r="H208" i="7"/>
  <c r="H203" i="7"/>
  <c r="M208" i="7"/>
  <c r="M205" i="7"/>
  <c r="F203" i="7"/>
  <c r="J206" i="7"/>
  <c r="M202" i="7"/>
  <c r="H206" i="7"/>
  <c r="M207" i="7"/>
  <c r="M200" i="7"/>
  <c r="M206" i="7"/>
  <c r="F205" i="7"/>
  <c r="F206" i="7"/>
  <c r="H205" i="7"/>
  <c r="H200" i="7"/>
  <c r="M203" i="7"/>
  <c r="F200" i="7"/>
  <c r="F202" i="7"/>
  <c r="F201" i="7"/>
  <c r="F208" i="7"/>
  <c r="F207" i="7"/>
  <c r="K206" i="7"/>
  <c r="W150" i="7"/>
  <c r="L203" i="7"/>
  <c r="L202" i="7"/>
  <c r="L208" i="7"/>
  <c r="L201" i="7"/>
  <c r="L207" i="7"/>
  <c r="L204" i="7"/>
  <c r="L205" i="7"/>
  <c r="W153" i="7"/>
  <c r="L206" i="7"/>
  <c r="K203" i="7"/>
  <c r="G188" i="7" a="1"/>
  <c r="N184" i="7"/>
  <c r="N185" i="7" s="1"/>
  <c r="N186" i="7" s="1"/>
  <c r="E201" i="7"/>
  <c r="E207" i="7"/>
  <c r="E202" i="7"/>
  <c r="E208" i="7"/>
  <c r="E205" i="7"/>
  <c r="E204" i="7"/>
  <c r="E200" i="7"/>
  <c r="G202" i="7"/>
  <c r="G201" i="7"/>
  <c r="G208" i="7"/>
  <c r="G205" i="7"/>
  <c r="G204" i="7"/>
  <c r="G207" i="7"/>
  <c r="I206" i="7"/>
  <c r="I207" i="7"/>
  <c r="I201" i="7"/>
  <c r="I208" i="7"/>
  <c r="I202" i="7"/>
  <c r="I205" i="7"/>
  <c r="I204" i="7"/>
  <c r="J203" i="7"/>
  <c r="J208" i="7"/>
  <c r="J201" i="7"/>
  <c r="J202" i="7"/>
  <c r="J205" i="7"/>
  <c r="J207" i="7"/>
  <c r="J204" i="7"/>
  <c r="E206" i="7"/>
  <c r="G203" i="7"/>
  <c r="N181" i="7"/>
  <c r="G206" i="7"/>
  <c r="W156" i="7"/>
  <c r="K202" i="7"/>
  <c r="K201" i="7"/>
  <c r="K207" i="7"/>
  <c r="K208" i="7"/>
  <c r="K204" i="7"/>
  <c r="K205" i="7"/>
  <c r="G188" i="3" a="1"/>
  <c r="H190" i="3" s="1"/>
  <c r="I190" i="3" s="1"/>
  <c r="N184" i="3"/>
  <c r="E60" i="4" a="1"/>
  <c r="E60" i="4" s="1"/>
  <c r="E5" i="4"/>
  <c r="E15" i="4" a="1"/>
  <c r="J203" i="3"/>
  <c r="J201" i="3"/>
  <c r="L203" i="3"/>
  <c r="L207" i="3"/>
  <c r="L208" i="3"/>
  <c r="L204" i="3"/>
  <c r="L205" i="3"/>
  <c r="L202" i="3"/>
  <c r="L200" i="3"/>
  <c r="J202" i="3"/>
  <c r="M208" i="3"/>
  <c r="M205" i="3"/>
  <c r="M206" i="3"/>
  <c r="M207" i="3"/>
  <c r="M202" i="3"/>
  <c r="M203" i="3"/>
  <c r="E203" i="3"/>
  <c r="E205" i="3"/>
  <c r="E206" i="3"/>
  <c r="E208" i="3"/>
  <c r="E200" i="3"/>
  <c r="E207" i="3"/>
  <c r="L206" i="3"/>
  <c r="G203" i="3"/>
  <c r="G200" i="3"/>
  <c r="G206" i="3"/>
  <c r="M204" i="3"/>
  <c r="G202" i="3"/>
  <c r="M200" i="3"/>
  <c r="G204" i="3"/>
  <c r="G201" i="3"/>
  <c r="G208" i="3"/>
  <c r="E202" i="3"/>
  <c r="J205" i="3"/>
  <c r="G205" i="3"/>
  <c r="E201" i="3"/>
  <c r="I201" i="3"/>
  <c r="E204" i="3"/>
  <c r="I206" i="3"/>
  <c r="J208" i="3"/>
  <c r="I202" i="3"/>
  <c r="J204" i="3"/>
  <c r="J207" i="3"/>
  <c r="F206" i="3"/>
  <c r="F201" i="3"/>
  <c r="F205" i="3"/>
  <c r="F202" i="3"/>
  <c r="I203" i="3"/>
  <c r="F207" i="3"/>
  <c r="I208" i="3"/>
  <c r="F203" i="3"/>
  <c r="F200" i="3"/>
  <c r="I204" i="3"/>
  <c r="I205" i="3"/>
  <c r="K203" i="3"/>
  <c r="K204" i="3"/>
  <c r="I207" i="3"/>
  <c r="J206" i="3"/>
  <c r="H204" i="3"/>
  <c r="H207" i="3"/>
  <c r="H208" i="3"/>
  <c r="H202" i="3"/>
  <c r="H203" i="3"/>
  <c r="H201" i="3"/>
  <c r="H205" i="3"/>
  <c r="H206" i="3"/>
  <c r="K206" i="3"/>
  <c r="F208" i="3"/>
  <c r="K205" i="3"/>
  <c r="K208" i="3"/>
  <c r="K202" i="3"/>
  <c r="K207" i="3"/>
  <c r="K200" i="3"/>
  <c r="K201" i="3"/>
  <c r="D194" i="7" l="1"/>
  <c r="D189" i="7"/>
  <c r="G188" i="7"/>
  <c r="D190" i="7"/>
  <c r="D191" i="7"/>
  <c r="D193" i="7"/>
  <c r="D196" i="7"/>
  <c r="D195" i="7"/>
  <c r="D192" i="7"/>
  <c r="H196" i="7"/>
  <c r="I196" i="7" s="1"/>
  <c r="H189" i="7"/>
  <c r="I189" i="7" s="1"/>
  <c r="H190" i="7"/>
  <c r="I190" i="7" s="1"/>
  <c r="H192" i="7"/>
  <c r="I192" i="7" s="1"/>
  <c r="H195" i="7"/>
  <c r="I195" i="7" s="1"/>
  <c r="H193" i="7"/>
  <c r="I193" i="7" s="1"/>
  <c r="E213" i="7" a="1"/>
  <c r="E213" i="7" s="1"/>
  <c r="H194" i="7"/>
  <c r="I194" i="7" s="1"/>
  <c r="H191" i="7"/>
  <c r="I191" i="7" s="1"/>
  <c r="D193" i="3"/>
  <c r="E193" i="3" s="1"/>
  <c r="D196" i="3"/>
  <c r="E196" i="3" s="1"/>
  <c r="H189" i="3"/>
  <c r="I189" i="3" s="1"/>
  <c r="D189" i="3"/>
  <c r="E189" i="3" s="1"/>
  <c r="D195" i="3"/>
  <c r="E195" i="3" s="1"/>
  <c r="D191" i="3"/>
  <c r="E191" i="3" s="1"/>
  <c r="H195" i="3"/>
  <c r="I195" i="3" s="1"/>
  <c r="D190" i="3"/>
  <c r="E190" i="3" s="1"/>
  <c r="H193" i="3"/>
  <c r="I193" i="3" s="1"/>
  <c r="G188" i="3"/>
  <c r="D188" i="3" s="1"/>
  <c r="E188" i="3" s="1"/>
  <c r="H196" i="3"/>
  <c r="I196" i="3" s="1"/>
  <c r="D192" i="3"/>
  <c r="E192" i="3" s="1"/>
  <c r="H194" i="3"/>
  <c r="I194" i="3" s="1"/>
  <c r="D194" i="3"/>
  <c r="E194" i="3" s="1"/>
  <c r="H192" i="3"/>
  <c r="I192" i="3" s="1"/>
  <c r="H191" i="3"/>
  <c r="I191" i="3" s="1"/>
  <c r="E21" i="4" a="1"/>
  <c r="E15" i="4"/>
  <c r="E14" i="4" s="1"/>
  <c r="E30" i="4" s="1"/>
  <c r="J14" i="4"/>
  <c r="J30" i="4" s="1"/>
  <c r="I14" i="4"/>
  <c r="I30" i="4" s="1"/>
  <c r="H14" i="4"/>
  <c r="H30" i="4" s="1"/>
  <c r="G14" i="4"/>
  <c r="G30" i="4" s="1"/>
  <c r="K14" i="4"/>
  <c r="K30" i="4" s="1"/>
  <c r="F14" i="4"/>
  <c r="F30" i="4" s="1"/>
  <c r="M14" i="4"/>
  <c r="M30" i="4" s="1"/>
  <c r="L14" i="4"/>
  <c r="L30" i="4" s="1"/>
  <c r="N14" i="4"/>
  <c r="E213" i="3" a="1"/>
  <c r="E191" i="7" l="1"/>
  <c r="B191" i="7" s="1"/>
  <c r="E50" i="8" s="1"/>
  <c r="F50" i="8" s="1"/>
  <c r="H50" i="8" s="1"/>
  <c r="J191" i="7"/>
  <c r="K191" i="7" s="1"/>
  <c r="L191" i="7" s="1"/>
  <c r="E192" i="7"/>
  <c r="B192" i="7" s="1"/>
  <c r="J192" i="7"/>
  <c r="K192" i="7" s="1"/>
  <c r="L192" i="7" s="1"/>
  <c r="E196" i="7"/>
  <c r="B196" i="7" s="1"/>
  <c r="J196" i="7"/>
  <c r="K196" i="7" s="1"/>
  <c r="L196" i="7" s="1"/>
  <c r="E195" i="7"/>
  <c r="B195" i="7" s="1"/>
  <c r="E54" i="8" s="1"/>
  <c r="F54" i="8" s="1"/>
  <c r="H54" i="8" s="1"/>
  <c r="J195" i="7"/>
  <c r="K195" i="7" s="1"/>
  <c r="L195" i="7" s="1"/>
  <c r="E193" i="7"/>
  <c r="B193" i="7" s="1"/>
  <c r="E52" i="8" s="1"/>
  <c r="F52" i="8" s="1"/>
  <c r="H52" i="8" s="1"/>
  <c r="J193" i="7"/>
  <c r="K193" i="7" s="1"/>
  <c r="L193" i="7" s="1"/>
  <c r="E190" i="7"/>
  <c r="B190" i="7" s="1"/>
  <c r="E49" i="8" s="1"/>
  <c r="F49" i="8" s="1"/>
  <c r="H49" i="8" s="1"/>
  <c r="J190" i="7"/>
  <c r="K190" i="7" s="1"/>
  <c r="L190" i="7" s="1"/>
  <c r="E189" i="7"/>
  <c r="B189" i="7" s="1"/>
  <c r="E48" i="8" s="1"/>
  <c r="F48" i="8" s="1"/>
  <c r="H48" i="8" s="1"/>
  <c r="J189" i="7"/>
  <c r="K189" i="7" s="1"/>
  <c r="L189" i="7" s="1"/>
  <c r="E194" i="7"/>
  <c r="B194" i="7" s="1"/>
  <c r="J194" i="7"/>
  <c r="K194" i="7" s="1"/>
  <c r="L194" i="7" s="1"/>
  <c r="E51" i="8"/>
  <c r="F51" i="8" s="1"/>
  <c r="H51" i="8" s="1"/>
  <c r="E55" i="8"/>
  <c r="F55" i="8" s="1"/>
  <c r="H55" i="8" s="1"/>
  <c r="E53" i="8"/>
  <c r="F53" i="8" s="1"/>
  <c r="H53" i="8" s="1"/>
  <c r="D188" i="7"/>
  <c r="H188" i="7"/>
  <c r="I188" i="7" s="1"/>
  <c r="H188" i="3"/>
  <c r="I188" i="3" s="1"/>
  <c r="O5" i="4" a="1"/>
  <c r="N7" i="4" s="1"/>
  <c r="F31" i="4"/>
  <c r="G31" i="4"/>
  <c r="E21" i="4"/>
  <c r="E31" i="4" s="1"/>
  <c r="H31" i="4"/>
  <c r="J31" i="4"/>
  <c r="K31" i="4"/>
  <c r="I31" i="4"/>
  <c r="L31" i="4"/>
  <c r="M31" i="4"/>
  <c r="E213" i="3"/>
  <c r="E188" i="7" l="1"/>
  <c r="B188" i="7" s="1"/>
  <c r="E47" i="8" s="1"/>
  <c r="F47" i="8" s="1"/>
  <c r="H47" i="8" s="1"/>
  <c r="J188" i="7"/>
  <c r="K188" i="7" s="1"/>
  <c r="L188" i="7" s="1"/>
  <c r="N10" i="4"/>
  <c r="N6" i="4"/>
  <c r="N11" i="4"/>
  <c r="O5" i="4"/>
  <c r="O47" i="4" s="1" a="1"/>
  <c r="O47" i="4" s="1"/>
  <c r="O56" i="4" s="1"/>
  <c r="N13" i="4"/>
  <c r="N9" i="4"/>
  <c r="N8" i="4"/>
  <c r="N12" i="4"/>
  <c r="E36" i="4" a="1"/>
  <c r="E36" i="4" s="1"/>
  <c r="C188" i="8" l="1" a="1"/>
  <c r="H56" i="8"/>
  <c r="H57" i="8" s="1"/>
  <c r="E60" i="8" a="1"/>
  <c r="N47" i="4" a="1"/>
  <c r="N47" i="4" s="1"/>
  <c r="N56" i="4" s="1"/>
  <c r="P5" i="4" a="1"/>
  <c r="Q12" i="4" s="1"/>
  <c r="R12" i="4" s="1"/>
  <c r="F60" i="4" a="1"/>
  <c r="F60" i="4" s="1"/>
  <c r="E16" i="4" a="1"/>
  <c r="E16" i="4" s="1"/>
  <c r="E17" i="4" s="1"/>
  <c r="N5" i="4"/>
  <c r="H47" i="4" s="1" a="1"/>
  <c r="H47" i="4" s="1"/>
  <c r="E60" i="8" l="1"/>
  <c r="G67" i="8"/>
  <c r="G64" i="8"/>
  <c r="G68" i="8"/>
  <c r="G62" i="8"/>
  <c r="G63" i="8"/>
  <c r="G65" i="8"/>
  <c r="G61" i="8"/>
  <c r="I72" i="8" s="1" a="1"/>
  <c r="I72" i="8" s="1"/>
  <c r="I74" i="8" s="1"/>
  <c r="G66" i="8"/>
  <c r="C188" i="8"/>
  <c r="G17" i="4"/>
  <c r="L17" i="4"/>
  <c r="Q13" i="4"/>
  <c r="R13" i="4" s="1"/>
  <c r="Q11" i="4"/>
  <c r="R11" i="4" s="1"/>
  <c r="P5" i="4"/>
  <c r="Q5" i="4" s="1"/>
  <c r="R5" i="4" s="1"/>
  <c r="Q7" i="4"/>
  <c r="R7" i="4" s="1"/>
  <c r="Q6" i="4"/>
  <c r="R6" i="4" s="1"/>
  <c r="Q8" i="4"/>
  <c r="R8" i="4" s="1"/>
  <c r="Q10" i="4"/>
  <c r="R10" i="4" s="1"/>
  <c r="H17" i="4"/>
  <c r="K17" i="4"/>
  <c r="J17" i="4"/>
  <c r="I17" i="4"/>
  <c r="F17" i="4"/>
  <c r="M17" i="4"/>
  <c r="Q9" i="4"/>
  <c r="R9" i="4" s="1"/>
  <c r="H56" i="4"/>
  <c r="C188" i="4" a="1"/>
  <c r="G66" i="4"/>
  <c r="G62" i="4"/>
  <c r="G67" i="4"/>
  <c r="G65" i="4"/>
  <c r="G68" i="4"/>
  <c r="G63" i="4"/>
  <c r="G61" i="4"/>
  <c r="G64" i="4"/>
  <c r="G60" i="8" l="1"/>
  <c r="D88" i="8" a="1"/>
  <c r="C188" i="4"/>
  <c r="G60" i="4"/>
  <c r="D88" i="4" a="1"/>
  <c r="G72" i="8" l="1" a="1"/>
  <c r="G72" i="8" s="1"/>
  <c r="G74" i="8" s="1"/>
  <c r="L72" i="8" a="1"/>
  <c r="L72" i="8" s="1"/>
  <c r="L74" i="8" s="1"/>
  <c r="J72" i="8" a="1"/>
  <c r="J72" i="8" s="1"/>
  <c r="J74" i="8" s="1"/>
  <c r="F72" i="8" a="1"/>
  <c r="F72" i="8" s="1"/>
  <c r="F74" i="8" s="1"/>
  <c r="H72" i="8" a="1"/>
  <c r="H72" i="8" s="1"/>
  <c r="H74" i="8" s="1"/>
  <c r="E72" i="8" a="1"/>
  <c r="E72" i="8" s="1"/>
  <c r="E74" i="8" s="1"/>
  <c r="K72" i="8" a="1"/>
  <c r="K72" i="8" s="1"/>
  <c r="K74" i="8" s="1"/>
  <c r="M72" i="8" a="1"/>
  <c r="M72" i="8" s="1"/>
  <c r="M74" i="8" s="1"/>
  <c r="H90" i="8"/>
  <c r="E96" i="8"/>
  <c r="F96" i="8"/>
  <c r="F97" i="8"/>
  <c r="M101" i="8"/>
  <c r="I98" i="8"/>
  <c r="E97" i="8"/>
  <c r="I97" i="8"/>
  <c r="D88" i="8"/>
  <c r="K97" i="8"/>
  <c r="M94" i="8"/>
  <c r="F98" i="8"/>
  <c r="J94" i="8"/>
  <c r="J100" i="8"/>
  <c r="G99" i="8"/>
  <c r="L94" i="8"/>
  <c r="E95" i="8"/>
  <c r="M97" i="8"/>
  <c r="E100" i="8"/>
  <c r="J96" i="8"/>
  <c r="J102" i="8"/>
  <c r="M96" i="8"/>
  <c r="I94" i="8"/>
  <c r="G94" i="8"/>
  <c r="F101" i="8"/>
  <c r="H98" i="8"/>
  <c r="E98" i="8"/>
  <c r="J99" i="8"/>
  <c r="G97" i="8"/>
  <c r="H101" i="8"/>
  <c r="G95" i="8"/>
  <c r="H97" i="8"/>
  <c r="G100" i="8"/>
  <c r="I95" i="8"/>
  <c r="K95" i="8"/>
  <c r="L96" i="8"/>
  <c r="I101" i="8"/>
  <c r="H100" i="8"/>
  <c r="M99" i="8"/>
  <c r="K90" i="8"/>
  <c r="J90" i="8"/>
  <c r="M100" i="8"/>
  <c r="H94" i="8"/>
  <c r="M95" i="8"/>
  <c r="K101" i="8"/>
  <c r="L95" i="8"/>
  <c r="L90" i="8"/>
  <c r="L99" i="8"/>
  <c r="F94" i="8"/>
  <c r="E99" i="8"/>
  <c r="G102" i="8"/>
  <c r="L102" i="8"/>
  <c r="K102" i="8"/>
  <c r="M90" i="8"/>
  <c r="E94" i="8"/>
  <c r="K96" i="8"/>
  <c r="I96" i="8"/>
  <c r="M102" i="8"/>
  <c r="K98" i="8"/>
  <c r="J98" i="8"/>
  <c r="L101" i="8"/>
  <c r="G90" i="8"/>
  <c r="F102" i="8"/>
  <c r="H99" i="8"/>
  <c r="G101" i="8"/>
  <c r="K99" i="8"/>
  <c r="M98" i="8"/>
  <c r="J101" i="8"/>
  <c r="E90" i="8"/>
  <c r="E101" i="8"/>
  <c r="G98" i="8"/>
  <c r="I102" i="8"/>
  <c r="L100" i="8"/>
  <c r="E102" i="8"/>
  <c r="I99" i="8"/>
  <c r="I90" i="8"/>
  <c r="F99" i="8"/>
  <c r="H96" i="8"/>
  <c r="H95" i="8"/>
  <c r="H102" i="8"/>
  <c r="K100" i="8"/>
  <c r="J97" i="8"/>
  <c r="I100" i="8"/>
  <c r="F90" i="8"/>
  <c r="F95" i="8"/>
  <c r="J95" i="8"/>
  <c r="L97" i="8"/>
  <c r="K94" i="8"/>
  <c r="F100" i="8"/>
  <c r="L98" i="8"/>
  <c r="G96" i="8"/>
  <c r="E72" i="4" a="1"/>
  <c r="E72" i="4" s="1"/>
  <c r="E74" i="4" s="1"/>
  <c r="I72" i="4" a="1"/>
  <c r="I72" i="4" s="1"/>
  <c r="I74" i="4" s="1"/>
  <c r="H72" i="4" a="1"/>
  <c r="H72" i="4" s="1"/>
  <c r="H74" i="4" s="1"/>
  <c r="F72" i="4" a="1"/>
  <c r="F72" i="4" s="1"/>
  <c r="F74" i="4" s="1"/>
  <c r="J72" i="4" a="1"/>
  <c r="J72" i="4" s="1"/>
  <c r="J74" i="4" s="1"/>
  <c r="G72" i="4" a="1"/>
  <c r="G72" i="4" s="1"/>
  <c r="G74" i="4" s="1"/>
  <c r="M72" i="4" a="1"/>
  <c r="M72" i="4" s="1"/>
  <c r="M74" i="4" s="1"/>
  <c r="K72" i="4" a="1"/>
  <c r="K72" i="4" s="1"/>
  <c r="K74" i="4" s="1"/>
  <c r="L72" i="4" a="1"/>
  <c r="L72" i="4" s="1"/>
  <c r="L74" i="4" s="1"/>
  <c r="E94" i="4"/>
  <c r="F90" i="4"/>
  <c r="I94" i="4"/>
  <c r="J102" i="4"/>
  <c r="G102" i="4"/>
  <c r="G97" i="4"/>
  <c r="K102" i="4"/>
  <c r="L95" i="4"/>
  <c r="H97" i="4"/>
  <c r="K96" i="4"/>
  <c r="L101" i="4"/>
  <c r="G101" i="4"/>
  <c r="F97" i="4"/>
  <c r="M90" i="4"/>
  <c r="H102" i="4"/>
  <c r="I97" i="4"/>
  <c r="F96" i="4"/>
  <c r="E97" i="4"/>
  <c r="J95" i="4"/>
  <c r="J97" i="4"/>
  <c r="F100" i="4"/>
  <c r="K98" i="4"/>
  <c r="F99" i="4"/>
  <c r="G99" i="4"/>
  <c r="E101" i="4"/>
  <c r="M98" i="4"/>
  <c r="L102" i="4"/>
  <c r="J94" i="4"/>
  <c r="G98" i="4"/>
  <c r="G94" i="4"/>
  <c r="L94" i="4"/>
  <c r="G96" i="4"/>
  <c r="J98" i="4"/>
  <c r="I102" i="4"/>
  <c r="L90" i="4"/>
  <c r="E100" i="4"/>
  <c r="L96" i="4"/>
  <c r="M94" i="4"/>
  <c r="J101" i="4"/>
  <c r="H98" i="4"/>
  <c r="K101" i="4"/>
  <c r="K97" i="4"/>
  <c r="H99" i="4"/>
  <c r="M97" i="4"/>
  <c r="H95" i="4"/>
  <c r="G95" i="4"/>
  <c r="F98" i="4"/>
  <c r="I100" i="4"/>
  <c r="M99" i="4"/>
  <c r="K100" i="4"/>
  <c r="L97" i="4"/>
  <c r="F95" i="4"/>
  <c r="K90" i="4"/>
  <c r="I99" i="4"/>
  <c r="H96" i="4"/>
  <c r="I98" i="4"/>
  <c r="E95" i="4"/>
  <c r="L98" i="4"/>
  <c r="I96" i="4"/>
  <c r="J100" i="4"/>
  <c r="E90" i="4"/>
  <c r="G100" i="4"/>
  <c r="M102" i="4"/>
  <c r="E96" i="4"/>
  <c r="H94" i="4"/>
  <c r="M101" i="4"/>
  <c r="H101" i="4"/>
  <c r="E98" i="4"/>
  <c r="D88" i="4"/>
  <c r="I95" i="4"/>
  <c r="J99" i="4"/>
  <c r="F102" i="4"/>
  <c r="F94" i="4"/>
  <c r="E99" i="4"/>
  <c r="K94" i="4"/>
  <c r="M96" i="4"/>
  <c r="I101" i="4"/>
  <c r="J90" i="4"/>
  <c r="E102" i="4"/>
  <c r="M95" i="4"/>
  <c r="J96" i="4"/>
  <c r="I90" i="4"/>
  <c r="F101" i="4"/>
  <c r="H100" i="4"/>
  <c r="K99" i="4"/>
  <c r="H90" i="4"/>
  <c r="L100" i="4"/>
  <c r="G90" i="4"/>
  <c r="M100" i="4"/>
  <c r="L99" i="4"/>
  <c r="K95" i="4"/>
  <c r="N90" i="8" l="1"/>
  <c r="B78" i="8" a="1"/>
  <c r="N103" i="8"/>
  <c r="N103" i="4"/>
  <c r="B78" i="4" a="1"/>
  <c r="H82" i="8" l="1"/>
  <c r="H110" i="8" s="1"/>
  <c r="M86" i="8"/>
  <c r="M114" i="8" s="1"/>
  <c r="F83" i="8"/>
  <c r="F111" i="8" s="1"/>
  <c r="G79" i="8"/>
  <c r="G107" i="8" s="1"/>
  <c r="H84" i="8"/>
  <c r="H112" i="8" s="1"/>
  <c r="J80" i="8"/>
  <c r="J108" i="8" s="1"/>
  <c r="L79" i="8"/>
  <c r="L107" i="8" s="1"/>
  <c r="I83" i="8"/>
  <c r="I111" i="8" s="1"/>
  <c r="G80" i="8"/>
  <c r="G108" i="8" s="1"/>
  <c r="H81" i="8"/>
  <c r="H109" i="8" s="1"/>
  <c r="G81" i="8"/>
  <c r="G109" i="8" s="1"/>
  <c r="J85" i="8"/>
  <c r="J113" i="8" s="1"/>
  <c r="G82" i="8"/>
  <c r="G110" i="8" s="1"/>
  <c r="J79" i="8"/>
  <c r="J107" i="8" s="1"/>
  <c r="M79" i="8"/>
  <c r="M107" i="8" s="1"/>
  <c r="J84" i="8"/>
  <c r="J112" i="8" s="1"/>
  <c r="H85" i="8"/>
  <c r="H113" i="8" s="1"/>
  <c r="M80" i="8"/>
  <c r="M108" i="8" s="1"/>
  <c r="H83" i="8"/>
  <c r="H111" i="8" s="1"/>
  <c r="I82" i="8"/>
  <c r="I110" i="8" s="1"/>
  <c r="G86" i="8"/>
  <c r="G114" i="8" s="1"/>
  <c r="I84" i="8"/>
  <c r="I112" i="8" s="1"/>
  <c r="M85" i="8"/>
  <c r="M113" i="8" s="1"/>
  <c r="F85" i="8"/>
  <c r="F113" i="8" s="1"/>
  <c r="E81" i="8"/>
  <c r="G85" i="8"/>
  <c r="G113" i="8" s="1"/>
  <c r="K81" i="8"/>
  <c r="K109" i="8" s="1"/>
  <c r="H86" i="8"/>
  <c r="H114" i="8" s="1"/>
  <c r="G84" i="8"/>
  <c r="G112" i="8" s="1"/>
  <c r="K85" i="8"/>
  <c r="K113" i="8" s="1"/>
  <c r="L83" i="8"/>
  <c r="L111" i="8" s="1"/>
  <c r="F84" i="8"/>
  <c r="F112" i="8" s="1"/>
  <c r="K84" i="8"/>
  <c r="K112" i="8" s="1"/>
  <c r="E86" i="8"/>
  <c r="G83" i="8"/>
  <c r="G111" i="8" s="1"/>
  <c r="F86" i="8"/>
  <c r="F114" i="8" s="1"/>
  <c r="L81" i="8"/>
  <c r="L109" i="8" s="1"/>
  <c r="K86" i="8"/>
  <c r="K114" i="8" s="1"/>
  <c r="F79" i="8"/>
  <c r="F107" i="8" s="1"/>
  <c r="B78" i="8"/>
  <c r="L82" i="8"/>
  <c r="L110" i="8" s="1"/>
  <c r="E85" i="8"/>
  <c r="F81" i="8"/>
  <c r="F109" i="8" s="1"/>
  <c r="E83" i="8"/>
  <c r="I80" i="8"/>
  <c r="I108" i="8" s="1"/>
  <c r="L85" i="8"/>
  <c r="L113" i="8" s="1"/>
  <c r="K79" i="8"/>
  <c r="K107" i="8" s="1"/>
  <c r="K132" i="8" s="1"/>
  <c r="I81" i="8"/>
  <c r="I109" i="8" s="1"/>
  <c r="E84" i="8"/>
  <c r="I79" i="8"/>
  <c r="I107" i="8" s="1"/>
  <c r="M84" i="8"/>
  <c r="M112" i="8" s="1"/>
  <c r="H80" i="8"/>
  <c r="H108" i="8" s="1"/>
  <c r="I85" i="8"/>
  <c r="I113" i="8" s="1"/>
  <c r="K82" i="8"/>
  <c r="K110" i="8" s="1"/>
  <c r="J83" i="8"/>
  <c r="J111" i="8" s="1"/>
  <c r="J81" i="8"/>
  <c r="J109" i="8" s="1"/>
  <c r="J82" i="8"/>
  <c r="J110" i="8" s="1"/>
  <c r="M83" i="8"/>
  <c r="M111" i="8" s="1"/>
  <c r="J86" i="8"/>
  <c r="J114" i="8" s="1"/>
  <c r="L84" i="8"/>
  <c r="L112" i="8" s="1"/>
  <c r="H79" i="8"/>
  <c r="H107" i="8" s="1"/>
  <c r="F82" i="8"/>
  <c r="F110" i="8" s="1"/>
  <c r="E80" i="8"/>
  <c r="I86" i="8"/>
  <c r="I114" i="8" s="1"/>
  <c r="E79" i="8"/>
  <c r="K80" i="8"/>
  <c r="K108" i="8" s="1"/>
  <c r="L86" i="8"/>
  <c r="L114" i="8" s="1"/>
  <c r="E82" i="8"/>
  <c r="F80" i="8"/>
  <c r="F108" i="8" s="1"/>
  <c r="L80" i="8"/>
  <c r="L108" i="8" s="1"/>
  <c r="L133" i="8" s="1"/>
  <c r="K83" i="8"/>
  <c r="K111" i="8" s="1"/>
  <c r="M81" i="8"/>
  <c r="M109" i="8" s="1"/>
  <c r="M82" i="8"/>
  <c r="M110" i="8" s="1"/>
  <c r="J80" i="4"/>
  <c r="J108" i="4" s="1"/>
  <c r="M83" i="4"/>
  <c r="M111" i="4" s="1"/>
  <c r="K83" i="4"/>
  <c r="K111" i="4" s="1"/>
  <c r="F85" i="4"/>
  <c r="F113" i="4" s="1"/>
  <c r="K82" i="4"/>
  <c r="K110" i="4" s="1"/>
  <c r="I79" i="4"/>
  <c r="I107" i="4" s="1"/>
  <c r="L81" i="4"/>
  <c r="L109" i="4" s="1"/>
  <c r="H85" i="4"/>
  <c r="H113" i="4" s="1"/>
  <c r="E82" i="4"/>
  <c r="J83" i="4"/>
  <c r="J111" i="4" s="1"/>
  <c r="M81" i="4"/>
  <c r="M109" i="4" s="1"/>
  <c r="H83" i="4"/>
  <c r="H111" i="4" s="1"/>
  <c r="E86" i="4"/>
  <c r="E83" i="4"/>
  <c r="E80" i="4"/>
  <c r="M82" i="4"/>
  <c r="M110" i="4" s="1"/>
  <c r="E85" i="4"/>
  <c r="G81" i="4"/>
  <c r="G109" i="4" s="1"/>
  <c r="G84" i="4"/>
  <c r="G112" i="4" s="1"/>
  <c r="L83" i="4"/>
  <c r="L111" i="4" s="1"/>
  <c r="G86" i="4"/>
  <c r="G114" i="4" s="1"/>
  <c r="E81" i="4"/>
  <c r="F84" i="4"/>
  <c r="F112" i="4" s="1"/>
  <c r="I81" i="4"/>
  <c r="I109" i="4" s="1"/>
  <c r="J81" i="4"/>
  <c r="J109" i="4" s="1"/>
  <c r="I86" i="4"/>
  <c r="I114" i="4" s="1"/>
  <c r="H86" i="4"/>
  <c r="H114" i="4" s="1"/>
  <c r="F82" i="4"/>
  <c r="F110" i="4" s="1"/>
  <c r="J82" i="4"/>
  <c r="J110" i="4" s="1"/>
  <c r="L85" i="4"/>
  <c r="L113" i="4" s="1"/>
  <c r="G85" i="4"/>
  <c r="G113" i="4" s="1"/>
  <c r="F86" i="4"/>
  <c r="F114" i="4" s="1"/>
  <c r="M79" i="4"/>
  <c r="M107" i="4" s="1"/>
  <c r="H80" i="4"/>
  <c r="H108" i="4" s="1"/>
  <c r="F79" i="4"/>
  <c r="F107" i="4" s="1"/>
  <c r="F132" i="4" s="1"/>
  <c r="G79" i="4"/>
  <c r="G107" i="4" s="1"/>
  <c r="G80" i="4"/>
  <c r="G108" i="4" s="1"/>
  <c r="J84" i="4"/>
  <c r="J112" i="4" s="1"/>
  <c r="H81" i="4"/>
  <c r="H109" i="4" s="1"/>
  <c r="I82" i="4"/>
  <c r="I110" i="4" s="1"/>
  <c r="F81" i="4"/>
  <c r="F109" i="4" s="1"/>
  <c r="J79" i="4"/>
  <c r="J107" i="4" s="1"/>
  <c r="H84" i="4"/>
  <c r="H112" i="4" s="1"/>
  <c r="L79" i="4"/>
  <c r="L107" i="4" s="1"/>
  <c r="M86" i="4"/>
  <c r="M114" i="4" s="1"/>
  <c r="L82" i="4"/>
  <c r="L110" i="4" s="1"/>
  <c r="K84" i="4"/>
  <c r="K112" i="4" s="1"/>
  <c r="L84" i="4"/>
  <c r="L112" i="4" s="1"/>
  <c r="H82" i="4"/>
  <c r="H110" i="4" s="1"/>
  <c r="H79" i="4"/>
  <c r="H107" i="4" s="1"/>
  <c r="K86" i="4"/>
  <c r="K114" i="4" s="1"/>
  <c r="J86" i="4"/>
  <c r="J114" i="4" s="1"/>
  <c r="E84" i="4"/>
  <c r="L86" i="4"/>
  <c r="L114" i="4" s="1"/>
  <c r="I80" i="4"/>
  <c r="I108" i="4" s="1"/>
  <c r="I84" i="4"/>
  <c r="I112" i="4" s="1"/>
  <c r="F83" i="4"/>
  <c r="F111" i="4" s="1"/>
  <c r="F80" i="4"/>
  <c r="F108" i="4" s="1"/>
  <c r="F133" i="4" s="1"/>
  <c r="E79" i="4"/>
  <c r="M85" i="4"/>
  <c r="M113" i="4" s="1"/>
  <c r="G83" i="4"/>
  <c r="G111" i="4" s="1"/>
  <c r="M84" i="4"/>
  <c r="M112" i="4" s="1"/>
  <c r="K79" i="4"/>
  <c r="K107" i="4" s="1"/>
  <c r="J85" i="4"/>
  <c r="J113" i="4" s="1"/>
  <c r="K80" i="4"/>
  <c r="K108" i="4" s="1"/>
  <c r="L80" i="4"/>
  <c r="L108" i="4" s="1"/>
  <c r="K85" i="4"/>
  <c r="K113" i="4" s="1"/>
  <c r="G82" i="4"/>
  <c r="G110" i="4" s="1"/>
  <c r="B78" i="4"/>
  <c r="I85" i="4"/>
  <c r="I113" i="4" s="1"/>
  <c r="M80" i="4"/>
  <c r="M108" i="4" s="1"/>
  <c r="K81" i="4"/>
  <c r="K109" i="4" s="1"/>
  <c r="I83" i="4"/>
  <c r="I111" i="4" s="1"/>
  <c r="H132" i="8" l="1"/>
  <c r="H133" i="8"/>
  <c r="L132" i="8"/>
  <c r="F132" i="8"/>
  <c r="M132" i="8"/>
  <c r="I132" i="8"/>
  <c r="J132" i="8"/>
  <c r="J132" i="4"/>
  <c r="G132" i="4"/>
  <c r="F133" i="8"/>
  <c r="G133" i="8"/>
  <c r="I133" i="8"/>
  <c r="J133" i="8"/>
  <c r="K133" i="8"/>
  <c r="M133" i="8"/>
  <c r="G132" i="8"/>
  <c r="E126" i="8"/>
  <c r="E114" i="8"/>
  <c r="N114" i="8" s="1"/>
  <c r="E123" i="8"/>
  <c r="E111" i="8"/>
  <c r="N111" i="8" s="1"/>
  <c r="E119" i="8"/>
  <c r="E107" i="8"/>
  <c r="E122" i="8"/>
  <c r="E110" i="8"/>
  <c r="N110" i="8" s="1"/>
  <c r="E113" i="8"/>
  <c r="N113" i="8" s="1"/>
  <c r="E125" i="8"/>
  <c r="L78" i="8"/>
  <c r="L106" i="8" s="1"/>
  <c r="I78" i="8"/>
  <c r="I106" i="8" s="1"/>
  <c r="H78" i="8"/>
  <c r="H106" i="8" s="1"/>
  <c r="F78" i="8"/>
  <c r="F106" i="8" s="1"/>
  <c r="K78" i="8"/>
  <c r="K106" i="8" s="1"/>
  <c r="E78" i="8"/>
  <c r="J78" i="8"/>
  <c r="J106" i="8" s="1"/>
  <c r="G78" i="8"/>
  <c r="G106" i="8" s="1"/>
  <c r="M78" i="8"/>
  <c r="M106" i="8" s="1"/>
  <c r="E108" i="8"/>
  <c r="E120" i="8"/>
  <c r="E112" i="8"/>
  <c r="N112" i="8" s="1"/>
  <c r="E124" i="8"/>
  <c r="E121" i="8"/>
  <c r="E109" i="8"/>
  <c r="N109" i="8" s="1"/>
  <c r="M133" i="4"/>
  <c r="J133" i="4"/>
  <c r="I133" i="4"/>
  <c r="K133" i="4"/>
  <c r="G78" i="4"/>
  <c r="G106" i="4" s="1"/>
  <c r="G131" i="4" s="1"/>
  <c r="J78" i="4"/>
  <c r="J106" i="4" s="1"/>
  <c r="J131" i="4" s="1"/>
  <c r="I78" i="4"/>
  <c r="I106" i="4" s="1"/>
  <c r="I131" i="4" s="1"/>
  <c r="H78" i="4"/>
  <c r="H106" i="4" s="1"/>
  <c r="H131" i="4" s="1"/>
  <c r="M78" i="4"/>
  <c r="M106" i="4" s="1"/>
  <c r="M131" i="4" s="1"/>
  <c r="F78" i="4"/>
  <c r="F106" i="4" s="1"/>
  <c r="F131" i="4" s="1"/>
  <c r="K78" i="4"/>
  <c r="K106" i="4" s="1"/>
  <c r="K131" i="4" s="1"/>
  <c r="E78" i="4"/>
  <c r="L78" i="4"/>
  <c r="L106" i="4" s="1"/>
  <c r="L131" i="4" s="1"/>
  <c r="E124" i="4"/>
  <c r="E112" i="4"/>
  <c r="N112" i="4" s="1"/>
  <c r="E125" i="4"/>
  <c r="E113" i="4"/>
  <c r="N113" i="4" s="1"/>
  <c r="M132" i="4"/>
  <c r="K132" i="4"/>
  <c r="E120" i="4"/>
  <c r="E108" i="4"/>
  <c r="H133" i="4"/>
  <c r="E122" i="4"/>
  <c r="E110" i="4"/>
  <c r="N110" i="4" s="1"/>
  <c r="L133" i="4"/>
  <c r="H132" i="4"/>
  <c r="E123" i="4"/>
  <c r="E111" i="4"/>
  <c r="N111" i="4" s="1"/>
  <c r="E119" i="4"/>
  <c r="E107" i="4"/>
  <c r="E121" i="4"/>
  <c r="E109" i="4"/>
  <c r="N109" i="4" s="1"/>
  <c r="L132" i="4"/>
  <c r="I132" i="4"/>
  <c r="G133" i="4"/>
  <c r="E126" i="4"/>
  <c r="E114" i="4"/>
  <c r="N114" i="4" s="1"/>
  <c r="O119" i="8" l="1"/>
  <c r="I115" i="8"/>
  <c r="I131" i="8"/>
  <c r="P119" i="8"/>
  <c r="N107" i="8"/>
  <c r="K119" i="8" s="1"/>
  <c r="F125" i="8" s="1" a="1"/>
  <c r="F125" i="8" s="1"/>
  <c r="E132" i="8"/>
  <c r="L115" i="8"/>
  <c r="L131" i="8"/>
  <c r="M131" i="8"/>
  <c r="M115" i="8"/>
  <c r="N87" i="8"/>
  <c r="E118" i="8"/>
  <c r="E106" i="8"/>
  <c r="G115" i="8"/>
  <c r="G131" i="8"/>
  <c r="K131" i="8"/>
  <c r="K115" i="8"/>
  <c r="Q119" i="8"/>
  <c r="P120" i="8"/>
  <c r="E133" i="8"/>
  <c r="N108" i="8"/>
  <c r="K120" i="8" s="1"/>
  <c r="F126" i="8" s="1" a="1"/>
  <c r="F126" i="8" s="1"/>
  <c r="J119" i="8"/>
  <c r="G122" i="8" s="1" a="1"/>
  <c r="G122" i="8" s="1"/>
  <c r="P118" i="8"/>
  <c r="F115" i="8"/>
  <c r="F131" i="8"/>
  <c r="O120" i="8"/>
  <c r="Q118" i="8"/>
  <c r="J120" i="8"/>
  <c r="G120" i="8" a="1"/>
  <c r="G120" i="8" s="1"/>
  <c r="J115" i="8"/>
  <c r="J131" i="8"/>
  <c r="H115" i="8"/>
  <c r="H131" i="8"/>
  <c r="Q120" i="8"/>
  <c r="E106" i="4"/>
  <c r="N87" i="4"/>
  <c r="E118" i="4"/>
  <c r="N108" i="4"/>
  <c r="K120" i="4" s="1"/>
  <c r="F120" i="4" s="1" a="1"/>
  <c r="F120" i="4" s="1"/>
  <c r="E133" i="4"/>
  <c r="N107" i="4"/>
  <c r="K119" i="4" s="1"/>
  <c r="F122" i="4" s="1" a="1"/>
  <c r="F122" i="4" s="1"/>
  <c r="E132" i="4"/>
  <c r="J120" i="4"/>
  <c r="G126" i="4" s="1" a="1"/>
  <c r="G126" i="4" s="1"/>
  <c r="J119" i="4"/>
  <c r="G119" i="4" s="1" a="1"/>
  <c r="G119" i="4" s="1"/>
  <c r="Q121" i="8" l="1"/>
  <c r="L120" i="8"/>
  <c r="O139" i="8" s="1"/>
  <c r="Q139" i="8" s="1"/>
  <c r="G123" i="8" a="1"/>
  <c r="G123" i="8" s="1"/>
  <c r="F120" i="8" a="1"/>
  <c r="F120" i="8" s="1"/>
  <c r="F123" i="8" a="1"/>
  <c r="F123" i="8" s="1"/>
  <c r="G126" i="8" a="1"/>
  <c r="G126" i="8" s="1"/>
  <c r="K145" i="8" s="1" a="1"/>
  <c r="K145" i="8" s="1"/>
  <c r="K158" i="8" s="1"/>
  <c r="G119" i="8" a="1"/>
  <c r="G119" i="8" s="1"/>
  <c r="H142" i="8" a="1"/>
  <c r="H142" i="8" s="1"/>
  <c r="H155" i="8" s="1"/>
  <c r="I142" i="8" a="1"/>
  <c r="I142" i="8" s="1"/>
  <c r="I155" i="8" s="1"/>
  <c r="L142" i="8" a="1"/>
  <c r="L142" i="8" s="1"/>
  <c r="L155" i="8" s="1"/>
  <c r="K142" i="8" a="1"/>
  <c r="K142" i="8" s="1"/>
  <c r="K155" i="8" s="1"/>
  <c r="F122" i="8" a="1"/>
  <c r="F122" i="8" s="1"/>
  <c r="F119" i="8" a="1"/>
  <c r="F119" i="8" s="1"/>
  <c r="L119" i="8"/>
  <c r="O135" i="8" s="1"/>
  <c r="N106" i="8"/>
  <c r="K118" i="8" s="1"/>
  <c r="E115" i="8"/>
  <c r="E131" i="8"/>
  <c r="N115" i="8"/>
  <c r="L139" i="8" a="1"/>
  <c r="L139" i="8" s="1"/>
  <c r="L152" i="8" s="1"/>
  <c r="F139" i="8" a="1"/>
  <c r="F139" i="8" s="1"/>
  <c r="F152" i="8" s="1"/>
  <c r="I139" i="8" a="1"/>
  <c r="I139" i="8" s="1"/>
  <c r="I152" i="8" s="1"/>
  <c r="H139" i="8" a="1"/>
  <c r="H139" i="8" s="1"/>
  <c r="H152" i="8" s="1"/>
  <c r="G139" i="8" a="1"/>
  <c r="G139" i="8" s="1"/>
  <c r="G152" i="8" s="1"/>
  <c r="J139" i="8" a="1"/>
  <c r="J139" i="8" s="1"/>
  <c r="J152" i="8" s="1"/>
  <c r="K139" i="8" a="1"/>
  <c r="K139" i="8" s="1"/>
  <c r="K152" i="8" s="1"/>
  <c r="E139" i="8" a="1"/>
  <c r="E139" i="8" s="1"/>
  <c r="E152" i="8" s="1"/>
  <c r="P139" i="8"/>
  <c r="R139" i="8"/>
  <c r="U139" i="8"/>
  <c r="W139" i="8"/>
  <c r="V139" i="8"/>
  <c r="T139" i="8"/>
  <c r="O118" i="8"/>
  <c r="O121" i="8" s="1"/>
  <c r="S118" i="8" s="1" a="1"/>
  <c r="S118" i="8" s="1"/>
  <c r="E127" i="8"/>
  <c r="J118" i="8"/>
  <c r="G118" i="8" s="1" a="1"/>
  <c r="G118" i="8" s="1"/>
  <c r="U118" i="8" a="1"/>
  <c r="G125" i="8" a="1"/>
  <c r="G125" i="8" s="1"/>
  <c r="P121" i="8"/>
  <c r="T118" i="8" s="1" a="1"/>
  <c r="T118" i="8" s="1"/>
  <c r="G125" i="4" a="1"/>
  <c r="G125" i="4" s="1"/>
  <c r="N106" i="4"/>
  <c r="K118" i="4" s="1"/>
  <c r="F118" i="4" s="1" a="1"/>
  <c r="F118" i="4" s="1"/>
  <c r="E131" i="4"/>
  <c r="N115" i="4"/>
  <c r="G120" i="4" a="1"/>
  <c r="G120" i="4" s="1"/>
  <c r="F125" i="4" a="1"/>
  <c r="F125" i="4" s="1"/>
  <c r="G122" i="4" a="1"/>
  <c r="G122" i="4" s="1"/>
  <c r="L119" i="4"/>
  <c r="L120" i="4"/>
  <c r="E145" i="4" s="1" a="1"/>
  <c r="E145" i="4" s="1"/>
  <c r="E158" i="4" s="1"/>
  <c r="F126" i="4" a="1"/>
  <c r="F126" i="4" s="1"/>
  <c r="F123" i="4" a="1"/>
  <c r="F123" i="4" s="1"/>
  <c r="E127" i="4"/>
  <c r="J118" i="4"/>
  <c r="G118" i="4" s="1" a="1"/>
  <c r="G118" i="4" s="1"/>
  <c r="F119" i="4" a="1"/>
  <c r="F119" i="4" s="1"/>
  <c r="G123" i="4" a="1"/>
  <c r="G123" i="4" s="1"/>
  <c r="H145" i="8" l="1" a="1"/>
  <c r="H145" i="8" s="1"/>
  <c r="H158" i="8" s="1"/>
  <c r="H179" i="8" s="1"/>
  <c r="H183" i="8" s="1"/>
  <c r="J145" i="8" a="1"/>
  <c r="J145" i="8" s="1"/>
  <c r="J158" i="8" s="1"/>
  <c r="M145" i="8" a="1"/>
  <c r="M145" i="8" s="1"/>
  <c r="M158" i="8" s="1"/>
  <c r="F145" i="8" a="1"/>
  <c r="F145" i="8" s="1"/>
  <c r="F158" i="8" s="1"/>
  <c r="O158" i="8" s="1"/>
  <c r="I145" i="8" a="1"/>
  <c r="I145" i="8" s="1"/>
  <c r="I158" i="8" s="1"/>
  <c r="R158" i="8" s="1"/>
  <c r="S139" i="8"/>
  <c r="L145" i="8" a="1"/>
  <c r="L145" i="8" s="1"/>
  <c r="L158" i="8" s="1"/>
  <c r="L179" i="8" s="1"/>
  <c r="L183" i="8" s="1"/>
  <c r="E145" i="8" a="1"/>
  <c r="E145" i="8" s="1"/>
  <c r="E158" i="8" s="1"/>
  <c r="N158" i="8" s="1"/>
  <c r="X139" i="8"/>
  <c r="M139" i="8" a="1"/>
  <c r="M139" i="8" s="1"/>
  <c r="M152" i="8" s="1"/>
  <c r="V152" i="8" s="1"/>
  <c r="J138" i="8" a="1"/>
  <c r="J138" i="8" s="1"/>
  <c r="J151" i="8" s="1"/>
  <c r="S151" i="8" s="1"/>
  <c r="G142" i="8" a="1"/>
  <c r="G142" i="8" s="1"/>
  <c r="G155" i="8" s="1"/>
  <c r="P155" i="8" s="1"/>
  <c r="F138" i="8" a="1"/>
  <c r="F138" i="8" s="1"/>
  <c r="F151" i="8" s="1"/>
  <c r="O151" i="8" s="1"/>
  <c r="J142" i="8" a="1"/>
  <c r="J142" i="8" s="1"/>
  <c r="J155" i="8" s="1"/>
  <c r="M138" i="8" a="1"/>
  <c r="M138" i="8" s="1"/>
  <c r="M151" i="8" s="1"/>
  <c r="V151" i="8" s="1"/>
  <c r="M142" i="8" a="1"/>
  <c r="M142" i="8" s="1"/>
  <c r="M155" i="8" s="1"/>
  <c r="V155" i="8" s="1"/>
  <c r="F141" i="8" a="1"/>
  <c r="F141" i="8" s="1"/>
  <c r="F154" i="8" s="1"/>
  <c r="O154" i="8" s="1"/>
  <c r="K138" i="8" a="1"/>
  <c r="K138" i="8" s="1"/>
  <c r="K151" i="8" s="1"/>
  <c r="T151" i="8" s="1"/>
  <c r="F142" i="8" a="1"/>
  <c r="F142" i="8" s="1"/>
  <c r="F155" i="8" s="1"/>
  <c r="O155" i="8" s="1"/>
  <c r="G145" i="8" a="1"/>
  <c r="G145" i="8" s="1"/>
  <c r="G158" i="8" s="1"/>
  <c r="P158" i="8" s="1"/>
  <c r="E142" i="8" a="1"/>
  <c r="E142" i="8" s="1"/>
  <c r="E155" i="8" s="1"/>
  <c r="N155" i="8" s="1"/>
  <c r="H138" i="8" a="1"/>
  <c r="H138" i="8" s="1"/>
  <c r="H151" i="8" s="1"/>
  <c r="L141" i="8" a="1"/>
  <c r="L141" i="8" s="1"/>
  <c r="L154" i="8" s="1"/>
  <c r="T158" i="8"/>
  <c r="S155" i="8"/>
  <c r="F124" i="8" a="1"/>
  <c r="F124" i="8" s="1"/>
  <c r="F121" i="8" a="1"/>
  <c r="F121" i="8" s="1"/>
  <c r="M141" i="8" a="1"/>
  <c r="M141" i="8" s="1"/>
  <c r="M154" i="8" s="1"/>
  <c r="U152" i="8"/>
  <c r="Q135" i="8"/>
  <c r="T135" i="8"/>
  <c r="S135" i="8"/>
  <c r="P135" i="8"/>
  <c r="W135" i="8"/>
  <c r="U135" i="8"/>
  <c r="R135" i="8"/>
  <c r="X135" i="8"/>
  <c r="V135" i="8"/>
  <c r="G141" i="8" a="1"/>
  <c r="G141" i="8" s="1"/>
  <c r="G154" i="8" s="1"/>
  <c r="J179" i="8"/>
  <c r="J183" i="8" s="1"/>
  <c r="S152" i="8"/>
  <c r="E141" i="8" a="1"/>
  <c r="E141" i="8" s="1"/>
  <c r="E154" i="8" s="1"/>
  <c r="Q158" i="8"/>
  <c r="T155" i="8"/>
  <c r="H141" i="8" a="1"/>
  <c r="H141" i="8" s="1"/>
  <c r="H154" i="8" s="1"/>
  <c r="S158" i="8"/>
  <c r="V158" i="8"/>
  <c r="I141" i="8" a="1"/>
  <c r="I141" i="8" s="1"/>
  <c r="I154" i="8" s="1"/>
  <c r="L144" i="8" a="1"/>
  <c r="L144" i="8" s="1"/>
  <c r="L157" i="8" s="1"/>
  <c r="K144" i="8" a="1"/>
  <c r="K144" i="8" s="1"/>
  <c r="K157" i="8" s="1"/>
  <c r="M144" i="8" a="1"/>
  <c r="M144" i="8" s="1"/>
  <c r="M157" i="8" s="1"/>
  <c r="I144" i="8" a="1"/>
  <c r="I144" i="8" s="1"/>
  <c r="I157" i="8" s="1"/>
  <c r="F144" i="8" a="1"/>
  <c r="F144" i="8" s="1"/>
  <c r="F157" i="8" s="1"/>
  <c r="E144" i="8" a="1"/>
  <c r="E144" i="8" s="1"/>
  <c r="E157" i="8" s="1"/>
  <c r="G144" i="8" a="1"/>
  <c r="G144" i="8" s="1"/>
  <c r="G157" i="8" s="1"/>
  <c r="H144" i="8" a="1"/>
  <c r="H144" i="8" s="1"/>
  <c r="H157" i="8" s="1"/>
  <c r="J144" i="8" a="1"/>
  <c r="J144" i="8" s="1"/>
  <c r="J157" i="8" s="1"/>
  <c r="L138" i="8" a="1"/>
  <c r="L138" i="8" s="1"/>
  <c r="L151" i="8" s="1"/>
  <c r="R152" i="8"/>
  <c r="I179" i="8"/>
  <c r="I183" i="8" s="1"/>
  <c r="U155" i="8"/>
  <c r="J141" i="8" a="1"/>
  <c r="J141" i="8" s="1"/>
  <c r="J154" i="8" s="1"/>
  <c r="Q155" i="8"/>
  <c r="U118" i="8"/>
  <c r="L118" i="8"/>
  <c r="O131" i="8" s="1"/>
  <c r="G121" i="8" a="1"/>
  <c r="G121" i="8" s="1"/>
  <c r="G124" i="8" a="1"/>
  <c r="G124" i="8" s="1"/>
  <c r="N152" i="8"/>
  <c r="T152" i="8"/>
  <c r="K179" i="8"/>
  <c r="K183" i="8" s="1"/>
  <c r="F118" i="8" a="1"/>
  <c r="F118" i="8" s="1"/>
  <c r="P152" i="8"/>
  <c r="E138" i="8" a="1"/>
  <c r="E138" i="8" s="1"/>
  <c r="E151" i="8" s="1"/>
  <c r="Q152" i="8"/>
  <c r="G138" i="8" a="1"/>
  <c r="G138" i="8" s="1"/>
  <c r="G151" i="8" s="1"/>
  <c r="O152" i="8"/>
  <c r="I138" i="8" a="1"/>
  <c r="I138" i="8" s="1"/>
  <c r="I151" i="8" s="1"/>
  <c r="R155" i="8"/>
  <c r="K141" i="8" a="1"/>
  <c r="K141" i="8" s="1"/>
  <c r="K154" i="8" s="1"/>
  <c r="I141" i="4" a="1"/>
  <c r="I141" i="4" s="1"/>
  <c r="I154" i="4" s="1"/>
  <c r="J144" i="4" a="1"/>
  <c r="J144" i="4" s="1"/>
  <c r="J157" i="4" s="1"/>
  <c r="F138" i="4" a="1"/>
  <c r="F138" i="4" s="1"/>
  <c r="F151" i="4" s="1"/>
  <c r="E144" i="4" a="1"/>
  <c r="E144" i="4" s="1"/>
  <c r="E157" i="4" s="1"/>
  <c r="F139" i="4" a="1"/>
  <c r="F139" i="4" s="1"/>
  <c r="F152" i="4" s="1"/>
  <c r="G139" i="4" a="1"/>
  <c r="G139" i="4" s="1"/>
  <c r="G152" i="4" s="1"/>
  <c r="E139" i="4" a="1"/>
  <c r="E139" i="4" s="1"/>
  <c r="E152" i="4" s="1"/>
  <c r="I139" i="4" a="1"/>
  <c r="I139" i="4" s="1"/>
  <c r="I152" i="4" s="1"/>
  <c r="H139" i="4" a="1"/>
  <c r="H139" i="4" s="1"/>
  <c r="H152" i="4" s="1"/>
  <c r="M139" i="4" a="1"/>
  <c r="M139" i="4" s="1"/>
  <c r="M152" i="4" s="1"/>
  <c r="L139" i="4" a="1"/>
  <c r="L139" i="4" s="1"/>
  <c r="L152" i="4" s="1"/>
  <c r="J139" i="4" a="1"/>
  <c r="J139" i="4" s="1"/>
  <c r="J152" i="4" s="1"/>
  <c r="K139" i="4" a="1"/>
  <c r="K139" i="4" s="1"/>
  <c r="K152" i="4" s="1"/>
  <c r="H142" i="4" a="1"/>
  <c r="H142" i="4" s="1"/>
  <c r="H155" i="4" s="1"/>
  <c r="E142" i="4" a="1"/>
  <c r="E142" i="4" s="1"/>
  <c r="E155" i="4" s="1"/>
  <c r="M142" i="4" a="1"/>
  <c r="M142" i="4" s="1"/>
  <c r="M155" i="4" s="1"/>
  <c r="F142" i="4" a="1"/>
  <c r="F142" i="4" s="1"/>
  <c r="F155" i="4" s="1"/>
  <c r="G142" i="4" a="1"/>
  <c r="G142" i="4" s="1"/>
  <c r="G155" i="4" s="1"/>
  <c r="K142" i="4" a="1"/>
  <c r="K142" i="4" s="1"/>
  <c r="K155" i="4" s="1"/>
  <c r="J142" i="4" a="1"/>
  <c r="J142" i="4" s="1"/>
  <c r="J155" i="4" s="1"/>
  <c r="I142" i="4" a="1"/>
  <c r="I142" i="4" s="1"/>
  <c r="I155" i="4" s="1"/>
  <c r="L142" i="4" a="1"/>
  <c r="L142" i="4" s="1"/>
  <c r="L155" i="4" s="1"/>
  <c r="I145" i="4" a="1"/>
  <c r="I145" i="4" s="1"/>
  <c r="I158" i="4" s="1"/>
  <c r="K138" i="4" a="1"/>
  <c r="K138" i="4" s="1"/>
  <c r="K151" i="4" s="1"/>
  <c r="K144" i="4" a="1"/>
  <c r="K144" i="4" s="1"/>
  <c r="K157" i="4" s="1"/>
  <c r="M145" i="4" a="1"/>
  <c r="M145" i="4" s="1"/>
  <c r="M158" i="4" s="1"/>
  <c r="H138" i="4" a="1"/>
  <c r="H138" i="4" s="1"/>
  <c r="H151" i="4" s="1"/>
  <c r="I144" i="4" a="1"/>
  <c r="I144" i="4" s="1"/>
  <c r="I157" i="4" s="1"/>
  <c r="H145" i="4" a="1"/>
  <c r="H145" i="4" s="1"/>
  <c r="H158" i="4" s="1"/>
  <c r="F121" i="4" a="1"/>
  <c r="F121" i="4" s="1"/>
  <c r="F124" i="4" a="1"/>
  <c r="F124" i="4" s="1"/>
  <c r="L118" i="4"/>
  <c r="L137" i="4" s="1" a="1"/>
  <c r="L137" i="4" s="1"/>
  <c r="L150" i="4" s="1"/>
  <c r="G124" i="4" a="1"/>
  <c r="G124" i="4" s="1"/>
  <c r="G121" i="4" a="1"/>
  <c r="G121" i="4" s="1"/>
  <c r="J138" i="4" a="1"/>
  <c r="J138" i="4" s="1"/>
  <c r="J151" i="4" s="1"/>
  <c r="G144" i="4" a="1"/>
  <c r="G144" i="4" s="1"/>
  <c r="G157" i="4" s="1"/>
  <c r="G145" i="4" a="1"/>
  <c r="G145" i="4" s="1"/>
  <c r="G158" i="4" s="1"/>
  <c r="I138" i="4" a="1"/>
  <c r="I138" i="4" s="1"/>
  <c r="I151" i="4" s="1"/>
  <c r="M138" i="4" a="1"/>
  <c r="M138" i="4" s="1"/>
  <c r="M151" i="4" s="1"/>
  <c r="G138" i="4" a="1"/>
  <c r="G138" i="4" s="1"/>
  <c r="G151" i="4" s="1"/>
  <c r="L138" i="4" a="1"/>
  <c r="L138" i="4" s="1"/>
  <c r="L151" i="4" s="1"/>
  <c r="M144" i="4" a="1"/>
  <c r="M144" i="4" s="1"/>
  <c r="M157" i="4" s="1"/>
  <c r="J145" i="4" a="1"/>
  <c r="J145" i="4" s="1"/>
  <c r="J158" i="4" s="1"/>
  <c r="F144" i="4" a="1"/>
  <c r="F144" i="4" s="1"/>
  <c r="F157" i="4" s="1"/>
  <c r="K141" i="4" a="1"/>
  <c r="K141" i="4" s="1"/>
  <c r="K154" i="4" s="1"/>
  <c r="F141" i="4" a="1"/>
  <c r="F141" i="4" s="1"/>
  <c r="F154" i="4" s="1"/>
  <c r="H141" i="4" a="1"/>
  <c r="H141" i="4" s="1"/>
  <c r="H154" i="4" s="1"/>
  <c r="G141" i="4" a="1"/>
  <c r="G141" i="4" s="1"/>
  <c r="G154" i="4" s="1"/>
  <c r="M141" i="4" a="1"/>
  <c r="M141" i="4" s="1"/>
  <c r="M154" i="4" s="1"/>
  <c r="J141" i="4" a="1"/>
  <c r="J141" i="4" s="1"/>
  <c r="J154" i="4" s="1"/>
  <c r="E141" i="4" a="1"/>
  <c r="E141" i="4" s="1"/>
  <c r="E154" i="4" s="1"/>
  <c r="L141" i="4" a="1"/>
  <c r="L141" i="4" s="1"/>
  <c r="L154" i="4" s="1"/>
  <c r="F145" i="4" a="1"/>
  <c r="F145" i="4" s="1"/>
  <c r="F158" i="4" s="1"/>
  <c r="K145" i="4" a="1"/>
  <c r="K145" i="4" s="1"/>
  <c r="K158" i="4" s="1"/>
  <c r="L145" i="4" a="1"/>
  <c r="L145" i="4" s="1"/>
  <c r="L158" i="4" s="1"/>
  <c r="L144" i="4" a="1"/>
  <c r="L144" i="4" s="1"/>
  <c r="L157" i="4" s="1"/>
  <c r="E138" i="4" a="1"/>
  <c r="E138" i="4" s="1"/>
  <c r="E151" i="4" s="1"/>
  <c r="H144" i="4" a="1"/>
  <c r="H144" i="4" s="1"/>
  <c r="H157" i="4" s="1"/>
  <c r="W155" i="8" l="1"/>
  <c r="P140" i="8" a="1"/>
  <c r="P140" i="8" s="1"/>
  <c r="G179" i="8"/>
  <c r="G183" i="8" s="1"/>
  <c r="P136" i="8" a="1"/>
  <c r="P136" i="8" s="1"/>
  <c r="G127" i="8"/>
  <c r="U158" i="8"/>
  <c r="F190" i="8"/>
  <c r="F179" i="8"/>
  <c r="F183" i="8" s="1"/>
  <c r="W152" i="8"/>
  <c r="F196" i="8"/>
  <c r="E179" i="8"/>
  <c r="E183" i="8" s="1"/>
  <c r="N183" i="8" s="1"/>
  <c r="F193" i="8"/>
  <c r="J178" i="8"/>
  <c r="J182" i="8" s="1"/>
  <c r="M178" i="8"/>
  <c r="M182" i="8" s="1"/>
  <c r="M179" i="8"/>
  <c r="M183" i="8" s="1"/>
  <c r="K178" i="8"/>
  <c r="K182" i="8" s="1"/>
  <c r="E137" i="8" a="1"/>
  <c r="E137" i="8" s="1"/>
  <c r="E150" i="8" s="1"/>
  <c r="N150" i="8" s="1"/>
  <c r="J137" i="8" a="1"/>
  <c r="J137" i="8" s="1"/>
  <c r="J150" i="8" s="1"/>
  <c r="W158" i="8"/>
  <c r="F178" i="8"/>
  <c r="F182" i="8" s="1"/>
  <c r="G137" i="8" a="1"/>
  <c r="G137" i="8" s="1"/>
  <c r="G150" i="8" s="1"/>
  <c r="T154" i="8"/>
  <c r="S157" i="8"/>
  <c r="J143" i="8" a="1"/>
  <c r="J143" i="8" s="1"/>
  <c r="J156" i="8" s="1"/>
  <c r="H143" i="8" a="1"/>
  <c r="H143" i="8" s="1"/>
  <c r="H156" i="8" s="1"/>
  <c r="L143" i="8" a="1"/>
  <c r="L143" i="8" s="1"/>
  <c r="L156" i="8" s="1"/>
  <c r="K143" i="8" a="1"/>
  <c r="K143" i="8" s="1"/>
  <c r="K156" i="8" s="1"/>
  <c r="I143" i="8" a="1"/>
  <c r="I143" i="8" s="1"/>
  <c r="I156" i="8" s="1"/>
  <c r="F143" i="8" a="1"/>
  <c r="F143" i="8" s="1"/>
  <c r="F156" i="8" s="1"/>
  <c r="E143" i="8" a="1"/>
  <c r="E143" i="8" s="1"/>
  <c r="E156" i="8" s="1"/>
  <c r="M143" i="8" a="1"/>
  <c r="M143" i="8" s="1"/>
  <c r="M156" i="8" s="1"/>
  <c r="G143" i="8" a="1"/>
  <c r="G143" i="8" s="1"/>
  <c r="G156" i="8" s="1"/>
  <c r="W131" i="8"/>
  <c r="R131" i="8"/>
  <c r="Q131" i="8"/>
  <c r="U131" i="8"/>
  <c r="T131" i="8"/>
  <c r="P131" i="8"/>
  <c r="V131" i="8"/>
  <c r="X131" i="8"/>
  <c r="S131" i="8"/>
  <c r="S154" i="8"/>
  <c r="R154" i="8"/>
  <c r="Q154" i="8"/>
  <c r="P154" i="8"/>
  <c r="P157" i="8"/>
  <c r="U151" i="8"/>
  <c r="L178" i="8"/>
  <c r="L182" i="8" s="1"/>
  <c r="N157" i="8"/>
  <c r="F195" i="8"/>
  <c r="V154" i="8"/>
  <c r="U154" i="8"/>
  <c r="L137" i="8" a="1"/>
  <c r="L137" i="8" s="1"/>
  <c r="L150" i="8" s="1"/>
  <c r="N154" i="8"/>
  <c r="F192" i="8"/>
  <c r="O157" i="8"/>
  <c r="Q151" i="8"/>
  <c r="H178" i="8"/>
  <c r="H182" i="8" s="1"/>
  <c r="H137" i="8" a="1"/>
  <c r="H137" i="8" s="1"/>
  <c r="H150" i="8" s="1"/>
  <c r="R151" i="8"/>
  <c r="I178" i="8"/>
  <c r="I182" i="8" s="1"/>
  <c r="R157" i="8"/>
  <c r="M137" i="8" a="1"/>
  <c r="M137" i="8" s="1"/>
  <c r="M150" i="8" s="1"/>
  <c r="Q157" i="8"/>
  <c r="V157" i="8"/>
  <c r="K137" i="8" a="1"/>
  <c r="K137" i="8" s="1"/>
  <c r="K150" i="8" s="1"/>
  <c r="N151" i="8"/>
  <c r="E178" i="8"/>
  <c r="E182" i="8" s="1"/>
  <c r="F189" i="8"/>
  <c r="M140" i="8" a="1"/>
  <c r="M140" i="8" s="1"/>
  <c r="M153" i="8" s="1"/>
  <c r="K140" i="8" a="1"/>
  <c r="K140" i="8" s="1"/>
  <c r="K153" i="8" s="1"/>
  <c r="T153" i="8" s="1"/>
  <c r="J140" i="8" a="1"/>
  <c r="J140" i="8" s="1"/>
  <c r="J153" i="8" s="1"/>
  <c r="F140" i="8" a="1"/>
  <c r="F140" i="8" s="1"/>
  <c r="F153" i="8" s="1"/>
  <c r="O153" i="8" s="1"/>
  <c r="I140" i="8" a="1"/>
  <c r="I140" i="8" s="1"/>
  <c r="I153" i="8" s="1"/>
  <c r="G140" i="8" a="1"/>
  <c r="G140" i="8" s="1"/>
  <c r="G153" i="8" s="1"/>
  <c r="L140" i="8" a="1"/>
  <c r="L140" i="8" s="1"/>
  <c r="L153" i="8" s="1"/>
  <c r="E140" i="8" a="1"/>
  <c r="E140" i="8" s="1"/>
  <c r="E153" i="8" s="1"/>
  <c r="H140" i="8" a="1"/>
  <c r="H140" i="8" s="1"/>
  <c r="H153" i="8" s="1"/>
  <c r="T157" i="8"/>
  <c r="F137" i="8" a="1"/>
  <c r="F137" i="8" s="1"/>
  <c r="F150" i="8" s="1"/>
  <c r="S150" i="8"/>
  <c r="P151" i="8"/>
  <c r="G178" i="8"/>
  <c r="G182" i="8" s="1"/>
  <c r="U157" i="8"/>
  <c r="I137" i="8" a="1"/>
  <c r="I137" i="8" s="1"/>
  <c r="I150" i="8" s="1"/>
  <c r="F196" i="4"/>
  <c r="F189" i="4"/>
  <c r="F190" i="4"/>
  <c r="F195" i="4"/>
  <c r="F192" i="4"/>
  <c r="F193" i="4"/>
  <c r="F178" i="4"/>
  <c r="F182" i="4" s="1"/>
  <c r="I137" i="4" a="1"/>
  <c r="I137" i="4" s="1"/>
  <c r="I150" i="4" s="1"/>
  <c r="E137" i="4" a="1"/>
  <c r="E137" i="4" s="1"/>
  <c r="E150" i="4" s="1"/>
  <c r="H137" i="4" a="1"/>
  <c r="H137" i="4" s="1"/>
  <c r="H150" i="4" s="1"/>
  <c r="G137" i="4" a="1"/>
  <c r="G137" i="4" s="1"/>
  <c r="G150" i="4" s="1"/>
  <c r="E178" i="4"/>
  <c r="E182" i="4" s="1"/>
  <c r="K178" i="4"/>
  <c r="K182" i="4" s="1"/>
  <c r="I140" i="4" a="1"/>
  <c r="I140" i="4" s="1"/>
  <c r="I153" i="4" s="1"/>
  <c r="H140" i="4" a="1"/>
  <c r="H140" i="4" s="1"/>
  <c r="H153" i="4" s="1"/>
  <c r="M140" i="4" a="1"/>
  <c r="M140" i="4" s="1"/>
  <c r="M153" i="4" s="1"/>
  <c r="K140" i="4" a="1"/>
  <c r="K140" i="4" s="1"/>
  <c r="K153" i="4" s="1"/>
  <c r="J140" i="4" a="1"/>
  <c r="J140" i="4" s="1"/>
  <c r="J153" i="4" s="1"/>
  <c r="E140" i="4" a="1"/>
  <c r="E140" i="4" s="1"/>
  <c r="E153" i="4" s="1"/>
  <c r="L140" i="4" a="1"/>
  <c r="L140" i="4" s="1"/>
  <c r="L153" i="4" s="1"/>
  <c r="F140" i="4" a="1"/>
  <c r="F140" i="4" s="1"/>
  <c r="F153" i="4" s="1"/>
  <c r="G140" i="4" a="1"/>
  <c r="G140" i="4" s="1"/>
  <c r="G153" i="4" s="1"/>
  <c r="H179" i="4"/>
  <c r="H183" i="4" s="1"/>
  <c r="E179" i="4"/>
  <c r="E183" i="4" s="1"/>
  <c r="F137" i="4" a="1"/>
  <c r="F137" i="4" s="1"/>
  <c r="F150" i="4" s="1"/>
  <c r="L178" i="4"/>
  <c r="L182" i="4" s="1"/>
  <c r="G179" i="4"/>
  <c r="G183" i="4" s="1"/>
  <c r="K137" i="4" a="1"/>
  <c r="K137" i="4" s="1"/>
  <c r="K150" i="4" s="1"/>
  <c r="K179" i="4"/>
  <c r="K183" i="4" s="1"/>
  <c r="J179" i="4"/>
  <c r="J183" i="4" s="1"/>
  <c r="M179" i="4"/>
  <c r="M183" i="4" s="1"/>
  <c r="E143" i="4" a="1"/>
  <c r="E143" i="4" s="1"/>
  <c r="E156" i="4" s="1"/>
  <c r="L143" i="4" a="1"/>
  <c r="L143" i="4" s="1"/>
  <c r="L156" i="4" s="1"/>
  <c r="K143" i="4" a="1"/>
  <c r="K143" i="4" s="1"/>
  <c r="K156" i="4" s="1"/>
  <c r="J143" i="4" a="1"/>
  <c r="J143" i="4" s="1"/>
  <c r="J156" i="4" s="1"/>
  <c r="F143" i="4" a="1"/>
  <c r="F143" i="4" s="1"/>
  <c r="F156" i="4" s="1"/>
  <c r="G143" i="4" a="1"/>
  <c r="G143" i="4" s="1"/>
  <c r="G156" i="4" s="1"/>
  <c r="H143" i="4" a="1"/>
  <c r="H143" i="4" s="1"/>
  <c r="H156" i="4" s="1"/>
  <c r="M143" i="4" a="1"/>
  <c r="M143" i="4" s="1"/>
  <c r="M156" i="4" s="1"/>
  <c r="I143" i="4" a="1"/>
  <c r="I143" i="4" s="1"/>
  <c r="I156" i="4" s="1"/>
  <c r="G127" i="4"/>
  <c r="F179" i="4"/>
  <c r="F183" i="4" s="1"/>
  <c r="J137" i="4" a="1"/>
  <c r="J137" i="4" s="1"/>
  <c r="J150" i="4" s="1"/>
  <c r="J178" i="4"/>
  <c r="J182" i="4" s="1"/>
  <c r="M178" i="4"/>
  <c r="M182" i="4" s="1"/>
  <c r="M137" i="4" a="1"/>
  <c r="M137" i="4" s="1"/>
  <c r="M150" i="4" s="1"/>
  <c r="L179" i="4"/>
  <c r="L183" i="4" s="1"/>
  <c r="I179" i="4"/>
  <c r="I183" i="4" s="1"/>
  <c r="G178" i="4"/>
  <c r="G182" i="4" s="1"/>
  <c r="I178" i="4"/>
  <c r="I182" i="4" s="1"/>
  <c r="H178" i="4"/>
  <c r="H182" i="4" s="1"/>
  <c r="J177" i="8" l="1"/>
  <c r="J181" i="8" s="1"/>
  <c r="J184" i="8" s="1"/>
  <c r="J204" i="8" s="1"/>
  <c r="G177" i="8"/>
  <c r="G181" i="8" s="1"/>
  <c r="G184" i="8" s="1"/>
  <c r="G204" i="8" s="1"/>
  <c r="N182" i="8"/>
  <c r="E177" i="8"/>
  <c r="E181" i="8" s="1"/>
  <c r="E184" i="8" s="1"/>
  <c r="N159" i="8"/>
  <c r="F188" i="8"/>
  <c r="W151" i="8"/>
  <c r="P150" i="8"/>
  <c r="W154" i="8"/>
  <c r="P132" i="8" a="1"/>
  <c r="P132" i="8" s="1"/>
  <c r="W157" i="8"/>
  <c r="Q150" i="8"/>
  <c r="H177" i="8"/>
  <c r="H181" i="8" s="1"/>
  <c r="H184" i="8" s="1"/>
  <c r="H200" i="8" s="1"/>
  <c r="S153" i="8"/>
  <c r="S156" i="8"/>
  <c r="G200" i="8"/>
  <c r="G208" i="8"/>
  <c r="G205" i="8"/>
  <c r="G202" i="8"/>
  <c r="G201" i="8"/>
  <c r="R153" i="8"/>
  <c r="N156" i="8"/>
  <c r="F194" i="8"/>
  <c r="Q156" i="8"/>
  <c r="O150" i="8"/>
  <c r="F177" i="8"/>
  <c r="F181" i="8" s="1"/>
  <c r="F184" i="8" s="1"/>
  <c r="O156" i="8"/>
  <c r="N153" i="8"/>
  <c r="F191" i="8"/>
  <c r="U153" i="8"/>
  <c r="P153" i="8"/>
  <c r="G203" i="8"/>
  <c r="V153" i="8"/>
  <c r="R156" i="8"/>
  <c r="U156" i="8"/>
  <c r="T150" i="8"/>
  <c r="K177" i="8"/>
  <c r="K181" i="8" s="1"/>
  <c r="K184" i="8" s="1"/>
  <c r="K200" i="8" s="1"/>
  <c r="G206" i="8"/>
  <c r="P156" i="8"/>
  <c r="M177" i="8"/>
  <c r="M181" i="8" s="1"/>
  <c r="M184" i="8" s="1"/>
  <c r="M200" i="8" s="1"/>
  <c r="V150" i="8"/>
  <c r="V156" i="8"/>
  <c r="I177" i="8"/>
  <c r="I181" i="8" s="1"/>
  <c r="I184" i="8" s="1"/>
  <c r="I200" i="8" s="1"/>
  <c r="R150" i="8"/>
  <c r="Q153" i="8"/>
  <c r="L177" i="8"/>
  <c r="L181" i="8" s="1"/>
  <c r="L184" i="8" s="1"/>
  <c r="U150" i="8"/>
  <c r="T156" i="8"/>
  <c r="E177" i="4"/>
  <c r="E181" i="4" s="1"/>
  <c r="E184" i="4" s="1"/>
  <c r="F194" i="4"/>
  <c r="F191" i="4"/>
  <c r="F188" i="4"/>
  <c r="G177" i="4"/>
  <c r="G181" i="4" s="1"/>
  <c r="G184" i="4" s="1"/>
  <c r="G206" i="4" s="1"/>
  <c r="J177" i="4"/>
  <c r="J181" i="4" s="1"/>
  <c r="J184" i="4" s="1"/>
  <c r="J203" i="4" s="1"/>
  <c r="F177" i="4"/>
  <c r="F181" i="4" s="1"/>
  <c r="F184" i="4" s="1"/>
  <c r="M177" i="4"/>
  <c r="M181" i="4" s="1"/>
  <c r="M184" i="4" s="1"/>
  <c r="M200" i="4" s="1"/>
  <c r="K177" i="4"/>
  <c r="K181" i="4" s="1"/>
  <c r="K184" i="4" s="1"/>
  <c r="E5" i="5" a="1"/>
  <c r="E5" i="5" s="1"/>
  <c r="N14" i="5" s="1"/>
  <c r="I177" i="4"/>
  <c r="I181" i="4" s="1"/>
  <c r="I184" i="4" s="1"/>
  <c r="H177" i="4"/>
  <c r="H181" i="4" s="1"/>
  <c r="H184" i="4" s="1"/>
  <c r="N159" i="4"/>
  <c r="L177" i="4"/>
  <c r="L181" i="4" s="1"/>
  <c r="L184" i="4" s="1"/>
  <c r="J201" i="8" l="1"/>
  <c r="J205" i="8"/>
  <c r="W150" i="8"/>
  <c r="J200" i="8"/>
  <c r="J203" i="8"/>
  <c r="J202" i="8"/>
  <c r="J208" i="8"/>
  <c r="J206" i="8"/>
  <c r="J207" i="8"/>
  <c r="G207" i="8"/>
  <c r="E203" i="8"/>
  <c r="E206" i="8"/>
  <c r="N181" i="8"/>
  <c r="W156" i="8"/>
  <c r="W153" i="8"/>
  <c r="H206" i="8"/>
  <c r="M206" i="8"/>
  <c r="K206" i="8"/>
  <c r="F203" i="8"/>
  <c r="F201" i="8"/>
  <c r="F208" i="8"/>
  <c r="F205" i="8"/>
  <c r="F204" i="8"/>
  <c r="F202" i="8"/>
  <c r="F207" i="8"/>
  <c r="L200" i="8"/>
  <c r="L202" i="8"/>
  <c r="L208" i="8"/>
  <c r="L205" i="8"/>
  <c r="L201" i="8"/>
  <c r="L204" i="8"/>
  <c r="L207" i="8"/>
  <c r="L206" i="8"/>
  <c r="M202" i="8"/>
  <c r="M201" i="8"/>
  <c r="M205" i="8"/>
  <c r="M208" i="8"/>
  <c r="M207" i="8"/>
  <c r="M204" i="8"/>
  <c r="H203" i="8"/>
  <c r="I206" i="8"/>
  <c r="I203" i="8"/>
  <c r="F206" i="8"/>
  <c r="L203" i="8"/>
  <c r="H205" i="8"/>
  <c r="H208" i="8"/>
  <c r="H202" i="8"/>
  <c r="H201" i="8"/>
  <c r="H204" i="8"/>
  <c r="H207" i="8"/>
  <c r="K203" i="8"/>
  <c r="K202" i="8"/>
  <c r="K201" i="8"/>
  <c r="K208" i="8"/>
  <c r="K205" i="8"/>
  <c r="K207" i="8"/>
  <c r="K204" i="8"/>
  <c r="I202" i="8"/>
  <c r="I205" i="8"/>
  <c r="I208" i="8"/>
  <c r="I207" i="8"/>
  <c r="I201" i="8"/>
  <c r="I204" i="8"/>
  <c r="M203" i="8"/>
  <c r="F200" i="8"/>
  <c r="N184" i="8"/>
  <c r="N185" i="8" s="1"/>
  <c r="N186" i="8" s="1"/>
  <c r="G188" i="8" a="1"/>
  <c r="E205" i="8"/>
  <c r="E208" i="8"/>
  <c r="E202" i="8"/>
  <c r="E204" i="8"/>
  <c r="E201" i="8"/>
  <c r="E200" i="8"/>
  <c r="E207" i="8"/>
  <c r="N184" i="4"/>
  <c r="B188" i="4" a="1"/>
  <c r="M206" i="4"/>
  <c r="J200" i="4"/>
  <c r="H207" i="4"/>
  <c r="H202" i="4"/>
  <c r="H200" i="4"/>
  <c r="H205" i="4"/>
  <c r="H208" i="4"/>
  <c r="H204" i="4"/>
  <c r="H201" i="4"/>
  <c r="H203" i="4"/>
  <c r="H206" i="4"/>
  <c r="F201" i="4"/>
  <c r="F207" i="4"/>
  <c r="F208" i="4"/>
  <c r="F202" i="4"/>
  <c r="F205" i="4"/>
  <c r="F204" i="4"/>
  <c r="F206" i="4"/>
  <c r="F200" i="4"/>
  <c r="F203" i="4"/>
  <c r="K207" i="4"/>
  <c r="K205" i="4"/>
  <c r="K208" i="4"/>
  <c r="K201" i="4"/>
  <c r="K204" i="4"/>
  <c r="K202" i="4"/>
  <c r="K203" i="4"/>
  <c r="K206" i="4"/>
  <c r="K200" i="4"/>
  <c r="L204" i="4"/>
  <c r="L207" i="4"/>
  <c r="L200" i="4"/>
  <c r="L202" i="4"/>
  <c r="L205" i="4"/>
  <c r="L201" i="4"/>
  <c r="L208" i="4"/>
  <c r="E15" i="5" a="1"/>
  <c r="E207" i="4"/>
  <c r="E208" i="4"/>
  <c r="E200" i="4"/>
  <c r="E204" i="4"/>
  <c r="E201" i="4"/>
  <c r="E202" i="4"/>
  <c r="E205" i="4"/>
  <c r="E60" i="5" a="1"/>
  <c r="E60" i="5" s="1"/>
  <c r="L203" i="4"/>
  <c r="E203" i="4"/>
  <c r="I204" i="4"/>
  <c r="I208" i="4"/>
  <c r="I202" i="4"/>
  <c r="I207" i="4"/>
  <c r="I205" i="4"/>
  <c r="I200" i="4"/>
  <c r="I201" i="4"/>
  <c r="L206" i="4"/>
  <c r="I203" i="4"/>
  <c r="M203" i="4"/>
  <c r="M208" i="4"/>
  <c r="M202" i="4"/>
  <c r="M204" i="4"/>
  <c r="M207" i="4"/>
  <c r="M201" i="4"/>
  <c r="M205" i="4"/>
  <c r="J206" i="4"/>
  <c r="J207" i="4"/>
  <c r="J205" i="4"/>
  <c r="J204" i="4"/>
  <c r="J208" i="4"/>
  <c r="J202" i="4"/>
  <c r="J201" i="4"/>
  <c r="E206" i="4"/>
  <c r="G203" i="4"/>
  <c r="G208" i="4"/>
  <c r="G204" i="4"/>
  <c r="G205" i="4"/>
  <c r="G207" i="4"/>
  <c r="G201" i="4"/>
  <c r="G202" i="4"/>
  <c r="G200" i="4"/>
  <c r="I206" i="4"/>
  <c r="E213" i="8" l="1" a="1"/>
  <c r="E213" i="8" s="1"/>
  <c r="D191" i="8"/>
  <c r="E191" i="8" s="1"/>
  <c r="B191" i="8" s="1"/>
  <c r="E50" i="9" s="1"/>
  <c r="F50" i="9" s="1"/>
  <c r="H50" i="9" s="1"/>
  <c r="D190" i="8"/>
  <c r="E190" i="8" s="1"/>
  <c r="B190" i="8" s="1"/>
  <c r="E49" i="9" s="1"/>
  <c r="F49" i="9" s="1"/>
  <c r="H49" i="9" s="1"/>
  <c r="D195" i="8"/>
  <c r="E195" i="8" s="1"/>
  <c r="B195" i="8" s="1"/>
  <c r="E54" i="9" s="1"/>
  <c r="F54" i="9" s="1"/>
  <c r="H54" i="9" s="1"/>
  <c r="D196" i="8"/>
  <c r="E196" i="8" s="1"/>
  <c r="B196" i="8" s="1"/>
  <c r="E55" i="9" s="1"/>
  <c r="F55" i="9" s="1"/>
  <c r="H55" i="9" s="1"/>
  <c r="D193" i="8"/>
  <c r="E193" i="8" s="1"/>
  <c r="B193" i="8" s="1"/>
  <c r="E52" i="9" s="1"/>
  <c r="F52" i="9" s="1"/>
  <c r="H52" i="9" s="1"/>
  <c r="D194" i="8"/>
  <c r="E194" i="8" s="1"/>
  <c r="B194" i="8" s="1"/>
  <c r="E53" i="9" s="1"/>
  <c r="F53" i="9" s="1"/>
  <c r="H53" i="9" s="1"/>
  <c r="D189" i="8"/>
  <c r="E189" i="8" s="1"/>
  <c r="B189" i="8" s="1"/>
  <c r="E48" i="9" s="1"/>
  <c r="F48" i="9" s="1"/>
  <c r="H48" i="9" s="1"/>
  <c r="D192" i="8"/>
  <c r="E192" i="8" s="1"/>
  <c r="B192" i="8" s="1"/>
  <c r="E51" i="9" s="1"/>
  <c r="F51" i="9" s="1"/>
  <c r="H51" i="9" s="1"/>
  <c r="G188" i="8"/>
  <c r="H193" i="8"/>
  <c r="I193" i="8" s="1"/>
  <c r="H196" i="8"/>
  <c r="I196" i="8" s="1"/>
  <c r="H190" i="8"/>
  <c r="I190" i="8" s="1"/>
  <c r="H189" i="8"/>
  <c r="I189" i="8" s="1"/>
  <c r="H195" i="8"/>
  <c r="I195" i="8" s="1"/>
  <c r="H192" i="8"/>
  <c r="I192" i="8" s="1"/>
  <c r="H194" i="8"/>
  <c r="I194" i="8" s="1"/>
  <c r="H191" i="8"/>
  <c r="I191" i="8" s="1"/>
  <c r="G196" i="4"/>
  <c r="G193" i="4"/>
  <c r="G194" i="4"/>
  <c r="G195" i="4"/>
  <c r="G192" i="4"/>
  <c r="G190" i="4"/>
  <c r="G191" i="4"/>
  <c r="B188" i="4"/>
  <c r="G188" i="4" s="1"/>
  <c r="G189" i="4"/>
  <c r="J14" i="5"/>
  <c r="J30" i="5" s="1"/>
  <c r="E15" i="5"/>
  <c r="E14" i="5" s="1"/>
  <c r="E30" i="5" s="1"/>
  <c r="K14" i="5"/>
  <c r="K30" i="5" s="1"/>
  <c r="L14" i="5"/>
  <c r="L30" i="5" s="1"/>
  <c r="F14" i="5"/>
  <c r="F30" i="5" s="1"/>
  <c r="I14" i="5"/>
  <c r="I30" i="5" s="1"/>
  <c r="H14" i="5"/>
  <c r="H30" i="5" s="1"/>
  <c r="M14" i="5"/>
  <c r="M30" i="5" s="1"/>
  <c r="G14" i="5"/>
  <c r="G30" i="5" s="1"/>
  <c r="E213" i="4" a="1"/>
  <c r="E213" i="4" s="1"/>
  <c r="E21" i="5" a="1"/>
  <c r="D188" i="8" l="1"/>
  <c r="E188" i="8" s="1"/>
  <c r="B188" i="8" s="1"/>
  <c r="E47" i="9" s="1"/>
  <c r="F47" i="9" s="1"/>
  <c r="H47" i="9" s="1"/>
  <c r="H188" i="8"/>
  <c r="I188" i="8" s="1"/>
  <c r="D190" i="4"/>
  <c r="E190" i="4" s="1"/>
  <c r="H190" i="4"/>
  <c r="I190" i="4" s="1"/>
  <c r="D192" i="4"/>
  <c r="E192" i="4" s="1"/>
  <c r="H192" i="4"/>
  <c r="I192" i="4" s="1"/>
  <c r="D195" i="4"/>
  <c r="E195" i="4" s="1"/>
  <c r="H195" i="4"/>
  <c r="I195" i="4" s="1"/>
  <c r="O5" i="5" a="1"/>
  <c r="N9" i="5" s="1"/>
  <c r="D194" i="4"/>
  <c r="E194" i="4" s="1"/>
  <c r="H194" i="4"/>
  <c r="I194" i="4" s="1"/>
  <c r="D193" i="4"/>
  <c r="E193" i="4" s="1"/>
  <c r="H193" i="4"/>
  <c r="I193" i="4" s="1"/>
  <c r="D189" i="4"/>
  <c r="E189" i="4" s="1"/>
  <c r="H189" i="4"/>
  <c r="I189" i="4" s="1"/>
  <c r="D188" i="4"/>
  <c r="E188" i="4" s="1"/>
  <c r="H188" i="4"/>
  <c r="I188" i="4" s="1"/>
  <c r="D191" i="4"/>
  <c r="E191" i="4" s="1"/>
  <c r="H191" i="4"/>
  <c r="I191" i="4" s="1"/>
  <c r="D196" i="4"/>
  <c r="E196" i="4" s="1"/>
  <c r="H196" i="4"/>
  <c r="I196" i="4" s="1"/>
  <c r="G31" i="5"/>
  <c r="J31" i="5"/>
  <c r="E21" i="5"/>
  <c r="K31" i="5"/>
  <c r="F31" i="5"/>
  <c r="H31" i="5"/>
  <c r="I31" i="5"/>
  <c r="L31" i="5"/>
  <c r="M31" i="5"/>
  <c r="E60" i="9" l="1" a="1"/>
  <c r="H56" i="9"/>
  <c r="H57" i="9" s="1"/>
  <c r="C188" i="9" a="1"/>
  <c r="N12" i="5"/>
  <c r="N8" i="5"/>
  <c r="O5" i="5"/>
  <c r="O47" i="5" s="1" a="1"/>
  <c r="O47" i="5" s="1"/>
  <c r="O56" i="5" s="1"/>
  <c r="N13" i="5"/>
  <c r="N10" i="5"/>
  <c r="N11" i="5"/>
  <c r="N6" i="5"/>
  <c r="N7" i="5"/>
  <c r="E31" i="5"/>
  <c r="E36" i="5" a="1"/>
  <c r="E36" i="5" s="1"/>
  <c r="E60" i="9" l="1"/>
  <c r="G68" i="9"/>
  <c r="G62" i="9"/>
  <c r="G65" i="9"/>
  <c r="G64" i="9"/>
  <c r="G61" i="9"/>
  <c r="G66" i="9"/>
  <c r="G67" i="9"/>
  <c r="G63" i="9"/>
  <c r="C188" i="9"/>
  <c r="P5" i="5" a="1"/>
  <c r="P5" i="5" s="1"/>
  <c r="N5" i="5"/>
  <c r="H47" i="5" s="1" a="1"/>
  <c r="H47" i="5" s="1"/>
  <c r="C188" i="5" s="1" a="1"/>
  <c r="C188" i="5" s="1"/>
  <c r="N47" i="5" a="1"/>
  <c r="N47" i="5" s="1"/>
  <c r="N56" i="5" s="1"/>
  <c r="E16" i="5" a="1"/>
  <c r="L17" i="5" s="1"/>
  <c r="F60" i="5" a="1"/>
  <c r="I72" i="9" l="1" a="1"/>
  <c r="I72" i="9" s="1"/>
  <c r="I74" i="9" s="1"/>
  <c r="G60" i="9"/>
  <c r="D88" i="9" a="1"/>
  <c r="Q12" i="5"/>
  <c r="R12" i="5" s="1"/>
  <c r="Q10" i="5"/>
  <c r="R10" i="5" s="1"/>
  <c r="Q7" i="5"/>
  <c r="R7" i="5" s="1"/>
  <c r="Q9" i="5"/>
  <c r="R9" i="5" s="1"/>
  <c r="Q11" i="5"/>
  <c r="R11" i="5" s="1"/>
  <c r="Q13" i="5"/>
  <c r="R13" i="5" s="1"/>
  <c r="Q6" i="5"/>
  <c r="R6" i="5" s="1"/>
  <c r="Q8" i="5"/>
  <c r="R8" i="5" s="1"/>
  <c r="K17" i="5"/>
  <c r="F17" i="5"/>
  <c r="G17" i="5"/>
  <c r="I17" i="5"/>
  <c r="J17" i="5"/>
  <c r="M17" i="5"/>
  <c r="H56" i="5"/>
  <c r="Q5" i="5"/>
  <c r="R5" i="5" s="1"/>
  <c r="E16" i="5"/>
  <c r="E17" i="5" s="1"/>
  <c r="H17" i="5"/>
  <c r="F60" i="5"/>
  <c r="G61" i="5"/>
  <c r="G65" i="5"/>
  <c r="G63" i="5"/>
  <c r="G68" i="5"/>
  <c r="G64" i="5"/>
  <c r="G67" i="5"/>
  <c r="G62" i="5"/>
  <c r="G66" i="5"/>
  <c r="L101" i="9" l="1"/>
  <c r="J96" i="9"/>
  <c r="J102" i="9"/>
  <c r="K100" i="9"/>
  <c r="F96" i="9"/>
  <c r="E94" i="9"/>
  <c r="G94" i="9"/>
  <c r="D88" i="9"/>
  <c r="M94" i="9"/>
  <c r="G100" i="9"/>
  <c r="L100" i="9"/>
  <c r="K101" i="9"/>
  <c r="H90" i="9"/>
  <c r="E97" i="9"/>
  <c r="M99" i="9"/>
  <c r="G90" i="9"/>
  <c r="K95" i="9"/>
  <c r="K96" i="9"/>
  <c r="H94" i="9"/>
  <c r="L102" i="9"/>
  <c r="H100" i="9"/>
  <c r="E95" i="9"/>
  <c r="I102" i="9"/>
  <c r="F100" i="9"/>
  <c r="F94" i="9"/>
  <c r="K90" i="9"/>
  <c r="L96" i="9"/>
  <c r="G101" i="9"/>
  <c r="M100" i="9"/>
  <c r="K99" i="9"/>
  <c r="I99" i="9"/>
  <c r="I100" i="9"/>
  <c r="E101" i="9"/>
  <c r="G102" i="9"/>
  <c r="J100" i="9"/>
  <c r="L95" i="9"/>
  <c r="L98" i="9"/>
  <c r="L99" i="9"/>
  <c r="H96" i="9"/>
  <c r="I97" i="9"/>
  <c r="I101" i="9"/>
  <c r="F102" i="9"/>
  <c r="I90" i="9"/>
  <c r="M98" i="9"/>
  <c r="H99" i="9"/>
  <c r="I94" i="9"/>
  <c r="G95" i="9"/>
  <c r="I98" i="9"/>
  <c r="F98" i="9"/>
  <c r="F99" i="9"/>
  <c r="J94" i="9"/>
  <c r="K94" i="9"/>
  <c r="H98" i="9"/>
  <c r="J101" i="9"/>
  <c r="M96" i="9"/>
  <c r="J95" i="9"/>
  <c r="F90" i="9"/>
  <c r="M102" i="9"/>
  <c r="G96" i="9"/>
  <c r="K102" i="9"/>
  <c r="M90" i="9"/>
  <c r="H101" i="9"/>
  <c r="H102" i="9"/>
  <c r="I96" i="9"/>
  <c r="G98" i="9"/>
  <c r="L94" i="9"/>
  <c r="E96" i="9"/>
  <c r="G99" i="9"/>
  <c r="J90" i="9"/>
  <c r="K97" i="9"/>
  <c r="J98" i="9"/>
  <c r="H97" i="9"/>
  <c r="E90" i="9"/>
  <c r="M101" i="9"/>
  <c r="L90" i="9"/>
  <c r="J97" i="9"/>
  <c r="M95" i="9"/>
  <c r="M97" i="9"/>
  <c r="G97" i="9"/>
  <c r="I95" i="9"/>
  <c r="E102" i="9"/>
  <c r="E99" i="9"/>
  <c r="H95" i="9"/>
  <c r="F101" i="9"/>
  <c r="E98" i="9"/>
  <c r="K98" i="9"/>
  <c r="L97" i="9"/>
  <c r="J99" i="9"/>
  <c r="F95" i="9"/>
  <c r="F97" i="9"/>
  <c r="E100" i="9"/>
  <c r="J72" i="9" a="1"/>
  <c r="J72" i="9" s="1"/>
  <c r="J74" i="9" s="1"/>
  <c r="H72" i="9" a="1"/>
  <c r="H72" i="9" s="1"/>
  <c r="H74" i="9" s="1"/>
  <c r="E72" i="9" a="1"/>
  <c r="E72" i="9" s="1"/>
  <c r="E74" i="9" s="1"/>
  <c r="F72" i="9" a="1"/>
  <c r="F72" i="9" s="1"/>
  <c r="F74" i="9" s="1"/>
  <c r="L72" i="9" a="1"/>
  <c r="L72" i="9" s="1"/>
  <c r="L74" i="9" s="1"/>
  <c r="K72" i="9" a="1"/>
  <c r="K72" i="9" s="1"/>
  <c r="K74" i="9" s="1"/>
  <c r="G72" i="9" a="1"/>
  <c r="G72" i="9" s="1"/>
  <c r="G74" i="9" s="1"/>
  <c r="M72" i="9" a="1"/>
  <c r="M72" i="9" s="1"/>
  <c r="M74" i="9" s="1"/>
  <c r="G60" i="5"/>
  <c r="D88" i="5" a="1"/>
  <c r="N90" i="9" l="1"/>
  <c r="N103" i="9"/>
  <c r="B78" i="9" a="1"/>
  <c r="K90" i="5"/>
  <c r="E96" i="5"/>
  <c r="K99" i="5"/>
  <c r="E100" i="5"/>
  <c r="H101" i="5"/>
  <c r="I95" i="5"/>
  <c r="G101" i="5"/>
  <c r="G96" i="5"/>
  <c r="I90" i="5"/>
  <c r="I99" i="5"/>
  <c r="I100" i="5"/>
  <c r="E102" i="5"/>
  <c r="F96" i="5"/>
  <c r="F95" i="5"/>
  <c r="J97" i="5"/>
  <c r="K100" i="5"/>
  <c r="J90" i="5"/>
  <c r="F97" i="5"/>
  <c r="M97" i="5"/>
  <c r="L98" i="5"/>
  <c r="I98" i="5"/>
  <c r="L96" i="5"/>
  <c r="I97" i="5"/>
  <c r="H94" i="5"/>
  <c r="M99" i="5"/>
  <c r="K94" i="5"/>
  <c r="G98" i="5"/>
  <c r="L100" i="5"/>
  <c r="L101" i="5"/>
  <c r="F101" i="5"/>
  <c r="G100" i="5"/>
  <c r="G94" i="5"/>
  <c r="F90" i="5"/>
  <c r="G99" i="5"/>
  <c r="G97" i="5"/>
  <c r="H95" i="5"/>
  <c r="J96" i="5"/>
  <c r="M102" i="5"/>
  <c r="M100" i="5"/>
  <c r="H100" i="5"/>
  <c r="D88" i="5"/>
  <c r="H102" i="5"/>
  <c r="M101" i="5"/>
  <c r="K95" i="5"/>
  <c r="E97" i="5"/>
  <c r="F99" i="5"/>
  <c r="L94" i="5"/>
  <c r="G90" i="5"/>
  <c r="J101" i="5"/>
  <c r="M94" i="5"/>
  <c r="J94" i="5"/>
  <c r="F102" i="5"/>
  <c r="H99" i="5"/>
  <c r="E94" i="5"/>
  <c r="F100" i="5"/>
  <c r="E98" i="5"/>
  <c r="L97" i="5"/>
  <c r="M90" i="5"/>
  <c r="H98" i="5"/>
  <c r="G102" i="5"/>
  <c r="M95" i="5"/>
  <c r="K101" i="5"/>
  <c r="E99" i="5"/>
  <c r="K102" i="5"/>
  <c r="I101" i="5"/>
  <c r="H96" i="5"/>
  <c r="F98" i="5"/>
  <c r="I96" i="5"/>
  <c r="J100" i="5"/>
  <c r="F94" i="5"/>
  <c r="K98" i="5"/>
  <c r="I102" i="5"/>
  <c r="J102" i="5"/>
  <c r="E90" i="5"/>
  <c r="J98" i="5"/>
  <c r="E101" i="5"/>
  <c r="I94" i="5"/>
  <c r="G95" i="5"/>
  <c r="L99" i="5"/>
  <c r="L102" i="5"/>
  <c r="L90" i="5"/>
  <c r="K97" i="5"/>
  <c r="J99" i="5"/>
  <c r="E95" i="5"/>
  <c r="H97" i="5"/>
  <c r="L95" i="5"/>
  <c r="H90" i="5"/>
  <c r="M96" i="5"/>
  <c r="J95" i="5"/>
  <c r="M98" i="5"/>
  <c r="K96" i="5"/>
  <c r="E72" i="5" a="1"/>
  <c r="E72" i="5" s="1"/>
  <c r="E74" i="5" s="1"/>
  <c r="M72" i="5" a="1"/>
  <c r="M72" i="5" s="1"/>
  <c r="M74" i="5" s="1"/>
  <c r="H72" i="5" a="1"/>
  <c r="H72" i="5" s="1"/>
  <c r="H74" i="5" s="1"/>
  <c r="K72" i="5" a="1"/>
  <c r="K72" i="5" s="1"/>
  <c r="K74" i="5" s="1"/>
  <c r="J72" i="5" a="1"/>
  <c r="J72" i="5" s="1"/>
  <c r="J74" i="5" s="1"/>
  <c r="G72" i="5" a="1"/>
  <c r="G72" i="5" s="1"/>
  <c r="G74" i="5" s="1"/>
  <c r="L72" i="5" a="1"/>
  <c r="L72" i="5" s="1"/>
  <c r="L74" i="5" s="1"/>
  <c r="I72" i="5" a="1"/>
  <c r="I72" i="5" s="1"/>
  <c r="I74" i="5" s="1"/>
  <c r="F72" i="5" a="1"/>
  <c r="F72" i="5" s="1"/>
  <c r="F74" i="5" s="1"/>
  <c r="K86" i="9" l="1"/>
  <c r="K114" i="9" s="1"/>
  <c r="M86" i="9"/>
  <c r="M114" i="9" s="1"/>
  <c r="H86" i="9"/>
  <c r="H114" i="9" s="1"/>
  <c r="L85" i="9"/>
  <c r="L113" i="9" s="1"/>
  <c r="F85" i="9"/>
  <c r="F113" i="9" s="1"/>
  <c r="I84" i="9"/>
  <c r="I112" i="9" s="1"/>
  <c r="M81" i="9"/>
  <c r="M109" i="9" s="1"/>
  <c r="H84" i="9"/>
  <c r="H112" i="9" s="1"/>
  <c r="G80" i="9"/>
  <c r="G108" i="9" s="1"/>
  <c r="E82" i="9"/>
  <c r="I80" i="9"/>
  <c r="I108" i="9" s="1"/>
  <c r="I133" i="9" s="1"/>
  <c r="M82" i="9"/>
  <c r="M110" i="9" s="1"/>
  <c r="I85" i="9"/>
  <c r="I113" i="9" s="1"/>
  <c r="H85" i="9"/>
  <c r="H113" i="9" s="1"/>
  <c r="J83" i="9"/>
  <c r="J111" i="9" s="1"/>
  <c r="H83" i="9"/>
  <c r="H111" i="9" s="1"/>
  <c r="G79" i="9"/>
  <c r="G107" i="9" s="1"/>
  <c r="J80" i="9"/>
  <c r="J108" i="9" s="1"/>
  <c r="J86" i="9"/>
  <c r="J114" i="9" s="1"/>
  <c r="E85" i="9"/>
  <c r="K85" i="9"/>
  <c r="K113" i="9" s="1"/>
  <c r="E86" i="9"/>
  <c r="I81" i="9"/>
  <c r="I109" i="9" s="1"/>
  <c r="E81" i="9"/>
  <c r="M79" i="9"/>
  <c r="M107" i="9" s="1"/>
  <c r="I79" i="9"/>
  <c r="I107" i="9" s="1"/>
  <c r="L84" i="9"/>
  <c r="L112" i="9" s="1"/>
  <c r="B78" i="9"/>
  <c r="G84" i="9"/>
  <c r="G112" i="9" s="1"/>
  <c r="M83" i="9"/>
  <c r="M111" i="9" s="1"/>
  <c r="F82" i="9"/>
  <c r="F110" i="9" s="1"/>
  <c r="J81" i="9"/>
  <c r="J109" i="9" s="1"/>
  <c r="G86" i="9"/>
  <c r="G114" i="9" s="1"/>
  <c r="L82" i="9"/>
  <c r="L110" i="9" s="1"/>
  <c r="H79" i="9"/>
  <c r="H107" i="9" s="1"/>
  <c r="H132" i="9" s="1"/>
  <c r="F84" i="9"/>
  <c r="F112" i="9" s="1"/>
  <c r="K83" i="9"/>
  <c r="K111" i="9" s="1"/>
  <c r="I83" i="9"/>
  <c r="I111" i="9" s="1"/>
  <c r="G83" i="9"/>
  <c r="G111" i="9" s="1"/>
  <c r="K84" i="9"/>
  <c r="K112" i="9" s="1"/>
  <c r="H80" i="9"/>
  <c r="H108" i="9" s="1"/>
  <c r="H133" i="9" s="1"/>
  <c r="J82" i="9"/>
  <c r="J110" i="9" s="1"/>
  <c r="L80" i="9"/>
  <c r="L108" i="9" s="1"/>
  <c r="M84" i="9"/>
  <c r="M112" i="9" s="1"/>
  <c r="E83" i="9"/>
  <c r="I82" i="9"/>
  <c r="I110" i="9" s="1"/>
  <c r="K79" i="9"/>
  <c r="K107" i="9" s="1"/>
  <c r="K132" i="9" s="1"/>
  <c r="J79" i="9"/>
  <c r="J107" i="9" s="1"/>
  <c r="H82" i="9"/>
  <c r="H110" i="9" s="1"/>
  <c r="K82" i="9"/>
  <c r="K110" i="9" s="1"/>
  <c r="M85" i="9"/>
  <c r="M113" i="9" s="1"/>
  <c r="H81" i="9"/>
  <c r="H109" i="9" s="1"/>
  <c r="J84" i="9"/>
  <c r="J112" i="9" s="1"/>
  <c r="F80" i="9"/>
  <c r="F108" i="9" s="1"/>
  <c r="K80" i="9"/>
  <c r="K108" i="9" s="1"/>
  <c r="K133" i="9" s="1"/>
  <c r="F79" i="9"/>
  <c r="F107" i="9" s="1"/>
  <c r="F132" i="9" s="1"/>
  <c r="I86" i="9"/>
  <c r="I114" i="9" s="1"/>
  <c r="G81" i="9"/>
  <c r="G109" i="9" s="1"/>
  <c r="L83" i="9"/>
  <c r="L111" i="9" s="1"/>
  <c r="F83" i="9"/>
  <c r="F111" i="9" s="1"/>
  <c r="E79" i="9"/>
  <c r="M80" i="9"/>
  <c r="M108" i="9" s="1"/>
  <c r="G85" i="9"/>
  <c r="G113" i="9" s="1"/>
  <c r="E80" i="9"/>
  <c r="L81" i="9"/>
  <c r="L109" i="9" s="1"/>
  <c r="F81" i="9"/>
  <c r="F109" i="9" s="1"/>
  <c r="F86" i="9"/>
  <c r="F114" i="9" s="1"/>
  <c r="G82" i="9"/>
  <c r="G110" i="9" s="1"/>
  <c r="L79" i="9"/>
  <c r="L107" i="9" s="1"/>
  <c r="L132" i="9" s="1"/>
  <c r="E84" i="9"/>
  <c r="J85" i="9"/>
  <c r="J113" i="9" s="1"/>
  <c r="K81" i="9"/>
  <c r="K109" i="9" s="1"/>
  <c r="L86" i="9"/>
  <c r="L114" i="9" s="1"/>
  <c r="B78" i="5" a="1"/>
  <c r="N103" i="5"/>
  <c r="G133" i="9" l="1"/>
  <c r="J133" i="9"/>
  <c r="M132" i="9"/>
  <c r="M133" i="9"/>
  <c r="F133" i="9"/>
  <c r="J132" i="9"/>
  <c r="L133" i="9"/>
  <c r="G132" i="9"/>
  <c r="I132" i="9"/>
  <c r="E121" i="9"/>
  <c r="E109" i="9"/>
  <c r="N109" i="9" s="1"/>
  <c r="E124" i="9"/>
  <c r="E112" i="9"/>
  <c r="N112" i="9" s="1"/>
  <c r="E125" i="9"/>
  <c r="P120" i="9" s="1"/>
  <c r="E113" i="9"/>
  <c r="N113" i="9" s="1"/>
  <c r="E123" i="9"/>
  <c r="E111" i="9"/>
  <c r="N111" i="9" s="1"/>
  <c r="E126" i="9"/>
  <c r="E114" i="9"/>
  <c r="N114" i="9" s="1"/>
  <c r="E120" i="9"/>
  <c r="E108" i="9"/>
  <c r="J78" i="9"/>
  <c r="J106" i="9" s="1"/>
  <c r="G78" i="9"/>
  <c r="G106" i="9" s="1"/>
  <c r="F78" i="9"/>
  <c r="F106" i="9" s="1"/>
  <c r="K78" i="9"/>
  <c r="K106" i="9" s="1"/>
  <c r="H78" i="9"/>
  <c r="H106" i="9" s="1"/>
  <c r="L78" i="9"/>
  <c r="L106" i="9" s="1"/>
  <c r="M78" i="9"/>
  <c r="M106" i="9" s="1"/>
  <c r="I78" i="9"/>
  <c r="I106" i="9" s="1"/>
  <c r="E78" i="9"/>
  <c r="E122" i="9"/>
  <c r="E110" i="9"/>
  <c r="N110" i="9" s="1"/>
  <c r="E119" i="9"/>
  <c r="E107" i="9"/>
  <c r="K81" i="5"/>
  <c r="K109" i="5" s="1"/>
  <c r="H85" i="5"/>
  <c r="H113" i="5" s="1"/>
  <c r="L83" i="5"/>
  <c r="L111" i="5" s="1"/>
  <c r="M85" i="5"/>
  <c r="M113" i="5" s="1"/>
  <c r="F85" i="5"/>
  <c r="F113" i="5" s="1"/>
  <c r="K84" i="5"/>
  <c r="K112" i="5" s="1"/>
  <c r="G83" i="5"/>
  <c r="G111" i="5" s="1"/>
  <c r="M81" i="5"/>
  <c r="M109" i="5" s="1"/>
  <c r="J85" i="5"/>
  <c r="J113" i="5" s="1"/>
  <c r="K85" i="5"/>
  <c r="K113" i="5" s="1"/>
  <c r="I82" i="5"/>
  <c r="I110" i="5" s="1"/>
  <c r="J82" i="5"/>
  <c r="J110" i="5" s="1"/>
  <c r="H84" i="5"/>
  <c r="H112" i="5" s="1"/>
  <c r="H79" i="5"/>
  <c r="H107" i="5" s="1"/>
  <c r="B78" i="5"/>
  <c r="K80" i="5"/>
  <c r="K108" i="5" s="1"/>
  <c r="G82" i="5"/>
  <c r="G110" i="5" s="1"/>
  <c r="H81" i="5"/>
  <c r="H109" i="5" s="1"/>
  <c r="J80" i="5"/>
  <c r="J108" i="5" s="1"/>
  <c r="K83" i="5"/>
  <c r="K111" i="5" s="1"/>
  <c r="E85" i="5"/>
  <c r="J81" i="5"/>
  <c r="J109" i="5" s="1"/>
  <c r="L85" i="5"/>
  <c r="L113" i="5" s="1"/>
  <c r="E86" i="5"/>
  <c r="L82" i="5"/>
  <c r="L110" i="5" s="1"/>
  <c r="F81" i="5"/>
  <c r="F109" i="5" s="1"/>
  <c r="L81" i="5"/>
  <c r="L109" i="5" s="1"/>
  <c r="E79" i="5"/>
  <c r="E82" i="5"/>
  <c r="G81" i="5"/>
  <c r="G109" i="5" s="1"/>
  <c r="I86" i="5"/>
  <c r="I114" i="5" s="1"/>
  <c r="J83" i="5"/>
  <c r="J111" i="5" s="1"/>
  <c r="L79" i="5"/>
  <c r="L107" i="5" s="1"/>
  <c r="G80" i="5"/>
  <c r="G108" i="5" s="1"/>
  <c r="I85" i="5"/>
  <c r="I113" i="5" s="1"/>
  <c r="G79" i="5"/>
  <c r="G107" i="5" s="1"/>
  <c r="I81" i="5"/>
  <c r="I109" i="5" s="1"/>
  <c r="F82" i="5"/>
  <c r="F110" i="5" s="1"/>
  <c r="F80" i="5"/>
  <c r="F108" i="5" s="1"/>
  <c r="H82" i="5"/>
  <c r="H110" i="5" s="1"/>
  <c r="F79" i="5"/>
  <c r="F107" i="5" s="1"/>
  <c r="G86" i="5"/>
  <c r="G114" i="5" s="1"/>
  <c r="H80" i="5"/>
  <c r="H108" i="5" s="1"/>
  <c r="H83" i="5"/>
  <c r="H111" i="5" s="1"/>
  <c r="F83" i="5"/>
  <c r="F111" i="5" s="1"/>
  <c r="M82" i="5"/>
  <c r="M110" i="5" s="1"/>
  <c r="M86" i="5"/>
  <c r="M114" i="5" s="1"/>
  <c r="K82" i="5"/>
  <c r="K110" i="5" s="1"/>
  <c r="F84" i="5"/>
  <c r="F112" i="5" s="1"/>
  <c r="M84" i="5"/>
  <c r="M112" i="5" s="1"/>
  <c r="E83" i="5"/>
  <c r="E84" i="5"/>
  <c r="I79" i="5"/>
  <c r="I107" i="5" s="1"/>
  <c r="L80" i="5"/>
  <c r="L108" i="5" s="1"/>
  <c r="M83" i="5"/>
  <c r="M111" i="5" s="1"/>
  <c r="E81" i="5"/>
  <c r="F86" i="5"/>
  <c r="F114" i="5" s="1"/>
  <c r="G85" i="5"/>
  <c r="G113" i="5" s="1"/>
  <c r="H86" i="5"/>
  <c r="H114" i="5" s="1"/>
  <c r="I80" i="5"/>
  <c r="I108" i="5" s="1"/>
  <c r="G84" i="5"/>
  <c r="G112" i="5" s="1"/>
  <c r="J84" i="5"/>
  <c r="J112" i="5" s="1"/>
  <c r="L86" i="5"/>
  <c r="L114" i="5" s="1"/>
  <c r="K79" i="5"/>
  <c r="K107" i="5" s="1"/>
  <c r="M80" i="5"/>
  <c r="M108" i="5" s="1"/>
  <c r="I84" i="5"/>
  <c r="I112" i="5" s="1"/>
  <c r="K86" i="5"/>
  <c r="K114" i="5" s="1"/>
  <c r="J86" i="5"/>
  <c r="J114" i="5" s="1"/>
  <c r="L84" i="5"/>
  <c r="L112" i="5" s="1"/>
  <c r="I83" i="5"/>
  <c r="I111" i="5" s="1"/>
  <c r="E80" i="5"/>
  <c r="J79" i="5"/>
  <c r="J107" i="5" s="1"/>
  <c r="J132" i="5" s="1"/>
  <c r="M79" i="5"/>
  <c r="M107" i="5" s="1"/>
  <c r="G133" i="5" l="1"/>
  <c r="J120" i="9"/>
  <c r="G120" i="9" s="1" a="1"/>
  <c r="G120" i="9" s="1"/>
  <c r="Q118" i="9"/>
  <c r="J119" i="9"/>
  <c r="G122" i="9" s="1" a="1"/>
  <c r="G122" i="9" s="1"/>
  <c r="P118" i="9"/>
  <c r="N108" i="9"/>
  <c r="K120" i="9" s="1"/>
  <c r="F120" i="9" s="1" a="1"/>
  <c r="F120" i="9" s="1"/>
  <c r="E133" i="9"/>
  <c r="I115" i="9"/>
  <c r="I131" i="9"/>
  <c r="Q119" i="9"/>
  <c r="L131" i="9"/>
  <c r="L115" i="9"/>
  <c r="P119" i="9"/>
  <c r="N87" i="9"/>
  <c r="E118" i="9"/>
  <c r="E106" i="9"/>
  <c r="K115" i="9"/>
  <c r="K131" i="9"/>
  <c r="F115" i="9"/>
  <c r="F131" i="9"/>
  <c r="O120" i="9"/>
  <c r="Q120" i="9"/>
  <c r="G126" i="9" a="1"/>
  <c r="G126" i="9" s="1"/>
  <c r="M115" i="9"/>
  <c r="M131" i="9"/>
  <c r="G131" i="9"/>
  <c r="G115" i="9"/>
  <c r="H115" i="9"/>
  <c r="H131" i="9"/>
  <c r="N107" i="9"/>
  <c r="K119" i="9" s="1"/>
  <c r="F125" i="9" s="1" a="1"/>
  <c r="F125" i="9" s="1"/>
  <c r="E132" i="9"/>
  <c r="J131" i="9"/>
  <c r="J115" i="9"/>
  <c r="O119" i="9"/>
  <c r="I133" i="5"/>
  <c r="G132" i="5"/>
  <c r="H132" i="5"/>
  <c r="F133" i="5"/>
  <c r="L132" i="5"/>
  <c r="J133" i="5"/>
  <c r="E126" i="5"/>
  <c r="E114" i="5"/>
  <c r="N114" i="5" s="1"/>
  <c r="E125" i="5"/>
  <c r="E113" i="5"/>
  <c r="N113" i="5" s="1"/>
  <c r="E121" i="5"/>
  <c r="E109" i="5"/>
  <c r="N109" i="5" s="1"/>
  <c r="H133" i="5"/>
  <c r="L133" i="5"/>
  <c r="M133" i="5"/>
  <c r="I132" i="5"/>
  <c r="F132" i="5"/>
  <c r="E122" i="5"/>
  <c r="E110" i="5"/>
  <c r="N110" i="5" s="1"/>
  <c r="K132" i="5"/>
  <c r="E124" i="5"/>
  <c r="E112" i="5"/>
  <c r="N112" i="5" s="1"/>
  <c r="E119" i="5"/>
  <c r="E107" i="5"/>
  <c r="K133" i="5"/>
  <c r="G78" i="5"/>
  <c r="G106" i="5" s="1"/>
  <c r="G131" i="5" s="1"/>
  <c r="F78" i="5"/>
  <c r="F106" i="5" s="1"/>
  <c r="F131" i="5" s="1"/>
  <c r="K78" i="5"/>
  <c r="K106" i="5" s="1"/>
  <c r="K131" i="5" s="1"/>
  <c r="E78" i="5"/>
  <c r="H78" i="5"/>
  <c r="H106" i="5" s="1"/>
  <c r="H131" i="5" s="1"/>
  <c r="I78" i="5"/>
  <c r="I106" i="5" s="1"/>
  <c r="I131" i="5" s="1"/>
  <c r="L78" i="5"/>
  <c r="L106" i="5" s="1"/>
  <c r="L131" i="5" s="1"/>
  <c r="J78" i="5"/>
  <c r="J106" i="5" s="1"/>
  <c r="J131" i="5" s="1"/>
  <c r="M78" i="5"/>
  <c r="M106" i="5" s="1"/>
  <c r="M131" i="5" s="1"/>
  <c r="E123" i="5"/>
  <c r="E111" i="5"/>
  <c r="N111" i="5" s="1"/>
  <c r="E120" i="5"/>
  <c r="E108" i="5"/>
  <c r="M132" i="5"/>
  <c r="G119" i="9" l="1" a="1"/>
  <c r="G119" i="9" s="1"/>
  <c r="F119" i="9" a="1"/>
  <c r="F119" i="9" s="1"/>
  <c r="P121" i="9"/>
  <c r="T118" i="9" s="1" a="1"/>
  <c r="Q121" i="9"/>
  <c r="N106" i="9"/>
  <c r="K118" i="9" s="1"/>
  <c r="E115" i="9"/>
  <c r="N115" i="9"/>
  <c r="E131" i="9"/>
  <c r="H138" i="9" a="1"/>
  <c r="H138" i="9" s="1"/>
  <c r="H151" i="9" s="1"/>
  <c r="E127" i="9"/>
  <c r="O118" i="9"/>
  <c r="O121" i="9" s="1"/>
  <c r="S118" i="9" s="1" a="1"/>
  <c r="J118" i="9"/>
  <c r="F126" i="9" a="1"/>
  <c r="F126" i="9" s="1"/>
  <c r="F122" i="9" a="1"/>
  <c r="F122" i="9" s="1"/>
  <c r="G125" i="9" a="1"/>
  <c r="G125" i="9" s="1"/>
  <c r="L119" i="9"/>
  <c r="O135" i="9" s="1"/>
  <c r="U118" i="9" a="1"/>
  <c r="F123" i="9" a="1"/>
  <c r="F123" i="9" s="1"/>
  <c r="G123" i="9" a="1"/>
  <c r="G123" i="9" s="1"/>
  <c r="L120" i="9"/>
  <c r="O139" i="9" s="1"/>
  <c r="J119" i="5"/>
  <c r="G122" i="5" s="1" a="1"/>
  <c r="G122" i="5" s="1"/>
  <c r="N107" i="5"/>
  <c r="K119" i="5" s="1"/>
  <c r="F125" i="5" s="1" a="1"/>
  <c r="F125" i="5" s="1"/>
  <c r="E132" i="5"/>
  <c r="N108" i="5"/>
  <c r="K120" i="5" s="1"/>
  <c r="F120" i="5" s="1" a="1"/>
  <c r="F120" i="5" s="1"/>
  <c r="E133" i="5"/>
  <c r="J120" i="5"/>
  <c r="G120" i="5" s="1" a="1"/>
  <c r="G120" i="5" s="1"/>
  <c r="N87" i="5"/>
  <c r="E118" i="5"/>
  <c r="E106" i="5"/>
  <c r="G138" i="9" l="1" a="1"/>
  <c r="G138" i="9" s="1"/>
  <c r="G151" i="9" s="1"/>
  <c r="H139" i="9" a="1"/>
  <c r="H139" i="9" s="1"/>
  <c r="H152" i="9" s="1"/>
  <c r="G145" i="9" a="1"/>
  <c r="G145" i="9" s="1"/>
  <c r="G158" i="9" s="1"/>
  <c r="L139" i="9" a="1"/>
  <c r="L139" i="9" s="1"/>
  <c r="L152" i="9" s="1"/>
  <c r="K145" i="9" a="1"/>
  <c r="K145" i="9" s="1"/>
  <c r="K158" i="9" s="1"/>
  <c r="G139" i="9" a="1"/>
  <c r="G139" i="9" s="1"/>
  <c r="G152" i="9" s="1"/>
  <c r="F138" i="9" a="1"/>
  <c r="F138" i="9" s="1"/>
  <c r="F151" i="9" s="1"/>
  <c r="O151" i="9" s="1"/>
  <c r="E138" i="9" a="1"/>
  <c r="E138" i="9" s="1"/>
  <c r="E151" i="9" s="1"/>
  <c r="N151" i="9" s="1"/>
  <c r="F145" i="9" a="1"/>
  <c r="F145" i="9" s="1"/>
  <c r="F158" i="9" s="1"/>
  <c r="M145" i="9" a="1"/>
  <c r="M145" i="9" s="1"/>
  <c r="M158" i="9" s="1"/>
  <c r="V158" i="9" s="1"/>
  <c r="E145" i="9" a="1"/>
  <c r="E145" i="9" s="1"/>
  <c r="E158" i="9" s="1"/>
  <c r="N158" i="9" s="1"/>
  <c r="H141" i="9" a="1"/>
  <c r="H141" i="9" s="1"/>
  <c r="H154" i="9" s="1"/>
  <c r="Q154" i="9" s="1"/>
  <c r="M141" i="9" a="1"/>
  <c r="M141" i="9" s="1"/>
  <c r="M154" i="9" s="1"/>
  <c r="V154" i="9" s="1"/>
  <c r="M139" i="9" a="1"/>
  <c r="M139" i="9" s="1"/>
  <c r="M152" i="9" s="1"/>
  <c r="V152" i="9" s="1"/>
  <c r="F141" i="9" a="1"/>
  <c r="F141" i="9" s="1"/>
  <c r="F154" i="9" s="1"/>
  <c r="O154" i="9" s="1"/>
  <c r="J141" i="9" a="1"/>
  <c r="J141" i="9" s="1"/>
  <c r="J154" i="9" s="1"/>
  <c r="S154" i="9" s="1"/>
  <c r="I139" i="9" a="1"/>
  <c r="I139" i="9" s="1"/>
  <c r="I152" i="9" s="1"/>
  <c r="L141" i="9" a="1"/>
  <c r="L141" i="9" s="1"/>
  <c r="L154" i="9" s="1"/>
  <c r="U154" i="9" s="1"/>
  <c r="K138" i="9" a="1"/>
  <c r="K138" i="9" s="1"/>
  <c r="K151" i="9" s="1"/>
  <c r="T151" i="9" s="1"/>
  <c r="J139" i="9" a="1"/>
  <c r="J139" i="9" s="1"/>
  <c r="J152" i="9" s="1"/>
  <c r="S152" i="9" s="1"/>
  <c r="G141" i="9" a="1"/>
  <c r="G141" i="9" s="1"/>
  <c r="G154" i="9" s="1"/>
  <c r="K139" i="9" a="1"/>
  <c r="K139" i="9" s="1"/>
  <c r="K152" i="9" s="1"/>
  <c r="T152" i="9" s="1"/>
  <c r="E139" i="9" a="1"/>
  <c r="E139" i="9" s="1"/>
  <c r="E152" i="9" s="1"/>
  <c r="L138" i="9" a="1"/>
  <c r="L138" i="9" s="1"/>
  <c r="L151" i="9" s="1"/>
  <c r="U151" i="9" s="1"/>
  <c r="H145" i="9" a="1"/>
  <c r="H145" i="9" s="1"/>
  <c r="H158" i="9" s="1"/>
  <c r="U152" i="9"/>
  <c r="M138" i="9" a="1"/>
  <c r="M138" i="9" s="1"/>
  <c r="M151" i="9" s="1"/>
  <c r="I145" i="9" a="1"/>
  <c r="I145" i="9" s="1"/>
  <c r="I158" i="9" s="1"/>
  <c r="P158" i="9"/>
  <c r="L145" i="9" a="1"/>
  <c r="L145" i="9" s="1"/>
  <c r="L158" i="9" s="1"/>
  <c r="P151" i="9"/>
  <c r="K141" i="9" a="1"/>
  <c r="K141" i="9" s="1"/>
  <c r="K154" i="9" s="1"/>
  <c r="S118" i="9"/>
  <c r="T158" i="9"/>
  <c r="E142" i="9" a="1"/>
  <c r="E142" i="9" s="1"/>
  <c r="E155" i="9" s="1"/>
  <c r="J142" i="9" a="1"/>
  <c r="J142" i="9" s="1"/>
  <c r="J155" i="9" s="1"/>
  <c r="M142" i="9" a="1"/>
  <c r="M142" i="9" s="1"/>
  <c r="M155" i="9" s="1"/>
  <c r="L142" i="9" a="1"/>
  <c r="L142" i="9" s="1"/>
  <c r="L155" i="9" s="1"/>
  <c r="H142" i="9" a="1"/>
  <c r="H142" i="9" s="1"/>
  <c r="H155" i="9" s="1"/>
  <c r="K142" i="9" a="1"/>
  <c r="K142" i="9" s="1"/>
  <c r="K155" i="9" s="1"/>
  <c r="F142" i="9" a="1"/>
  <c r="F142" i="9" s="1"/>
  <c r="F155" i="9" s="1"/>
  <c r="G142" i="9" a="1"/>
  <c r="G142" i="9" s="1"/>
  <c r="G155" i="9" s="1"/>
  <c r="G179" i="9" s="1"/>
  <c r="G183" i="9" s="1"/>
  <c r="I142" i="9" a="1"/>
  <c r="I142" i="9" s="1"/>
  <c r="I155" i="9" s="1"/>
  <c r="R135" i="9"/>
  <c r="T135" i="9"/>
  <c r="Q135" i="9"/>
  <c r="S135" i="9"/>
  <c r="P135" i="9"/>
  <c r="X135" i="9"/>
  <c r="W135" i="9"/>
  <c r="U135" i="9"/>
  <c r="V135" i="9"/>
  <c r="J138" i="9" a="1"/>
  <c r="J138" i="9" s="1"/>
  <c r="J151" i="9" s="1"/>
  <c r="E141" i="9" a="1"/>
  <c r="E141" i="9" s="1"/>
  <c r="E154" i="9" s="1"/>
  <c r="T118" i="9"/>
  <c r="R139" i="9"/>
  <c r="X139" i="9"/>
  <c r="V139" i="9"/>
  <c r="Q139" i="9"/>
  <c r="W139" i="9"/>
  <c r="U139" i="9"/>
  <c r="P139" i="9"/>
  <c r="S139" i="9"/>
  <c r="T139" i="9"/>
  <c r="F139" i="9" a="1"/>
  <c r="F139" i="9" s="1"/>
  <c r="F152" i="9" s="1"/>
  <c r="G144" i="9" a="1"/>
  <c r="G144" i="9" s="1"/>
  <c r="G157" i="9" s="1"/>
  <c r="F144" i="9" a="1"/>
  <c r="F144" i="9" s="1"/>
  <c r="F157" i="9" s="1"/>
  <c r="H144" i="9" a="1"/>
  <c r="H144" i="9" s="1"/>
  <c r="H157" i="9" s="1"/>
  <c r="J144" i="9" a="1"/>
  <c r="J144" i="9" s="1"/>
  <c r="J157" i="9" s="1"/>
  <c r="L144" i="9" a="1"/>
  <c r="L144" i="9" s="1"/>
  <c r="L157" i="9" s="1"/>
  <c r="E144" i="9" a="1"/>
  <c r="E144" i="9" s="1"/>
  <c r="E157" i="9" s="1"/>
  <c r="K144" i="9" a="1"/>
  <c r="K144" i="9" s="1"/>
  <c r="K157" i="9" s="1"/>
  <c r="I144" i="9" a="1"/>
  <c r="I144" i="9" s="1"/>
  <c r="I157" i="9" s="1"/>
  <c r="R157" i="9" s="1"/>
  <c r="M144" i="9" a="1"/>
  <c r="M144" i="9" s="1"/>
  <c r="M157" i="9" s="1"/>
  <c r="I138" i="9" a="1"/>
  <c r="I138" i="9" s="1"/>
  <c r="I151" i="9" s="1"/>
  <c r="I141" i="9" a="1"/>
  <c r="I141" i="9" s="1"/>
  <c r="I154" i="9" s="1"/>
  <c r="G118" i="9" a="1"/>
  <c r="G118" i="9" s="1"/>
  <c r="L118" i="9"/>
  <c r="O131" i="9" s="1"/>
  <c r="G124" i="9" a="1"/>
  <c r="G124" i="9" s="1"/>
  <c r="G121" i="9" a="1"/>
  <c r="G121" i="9" s="1"/>
  <c r="Q152" i="9"/>
  <c r="P152" i="9"/>
  <c r="U118" i="9"/>
  <c r="Q151" i="9"/>
  <c r="J145" i="9" a="1"/>
  <c r="J145" i="9" s="1"/>
  <c r="J158" i="9" s="1"/>
  <c r="F118" i="9" a="1"/>
  <c r="F118" i="9" s="1"/>
  <c r="F124" i="9" a="1"/>
  <c r="F124" i="9" s="1"/>
  <c r="F121" i="9" a="1"/>
  <c r="F121" i="9" s="1"/>
  <c r="G123" i="5" a="1"/>
  <c r="G123" i="5" s="1"/>
  <c r="G119" i="5" a="1"/>
  <c r="G119" i="5" s="1"/>
  <c r="G125" i="5" a="1"/>
  <c r="G125" i="5" s="1"/>
  <c r="F119" i="5" a="1"/>
  <c r="F119" i="5" s="1"/>
  <c r="F126" i="5" a="1"/>
  <c r="F126" i="5" s="1"/>
  <c r="F123" i="5" a="1"/>
  <c r="F123" i="5" s="1"/>
  <c r="G126" i="5" a="1"/>
  <c r="G126" i="5" s="1"/>
  <c r="L120" i="5"/>
  <c r="I139" i="5" s="1" a="1"/>
  <c r="I139" i="5" s="1"/>
  <c r="I152" i="5" s="1"/>
  <c r="E131" i="5"/>
  <c r="N115" i="5"/>
  <c r="N106" i="5"/>
  <c r="K118" i="5" s="1"/>
  <c r="F122" i="5" a="1"/>
  <c r="F122" i="5" s="1"/>
  <c r="L119" i="5"/>
  <c r="E127" i="5"/>
  <c r="J118" i="5"/>
  <c r="L178" i="9" l="1"/>
  <c r="L182" i="9" s="1"/>
  <c r="H179" i="9"/>
  <c r="H183" i="9" s="1"/>
  <c r="H178" i="9"/>
  <c r="H182" i="9" s="1"/>
  <c r="G139" i="5" a="1"/>
  <c r="G139" i="5" s="1"/>
  <c r="G152" i="5" s="1"/>
  <c r="K178" i="9"/>
  <c r="K182" i="9" s="1"/>
  <c r="J179" i="9"/>
  <c r="J183" i="9" s="1"/>
  <c r="M179" i="9"/>
  <c r="M183" i="9" s="1"/>
  <c r="L179" i="9"/>
  <c r="L183" i="9" s="1"/>
  <c r="I179" i="9"/>
  <c r="I183" i="9" s="1"/>
  <c r="G178" i="9"/>
  <c r="G182" i="9" s="1"/>
  <c r="E179" i="9"/>
  <c r="E183" i="9" s="1"/>
  <c r="F189" i="9"/>
  <c r="P136" i="9" a="1"/>
  <c r="P136" i="9" s="1"/>
  <c r="F178" i="9"/>
  <c r="F182" i="9" s="1"/>
  <c r="K179" i="9"/>
  <c r="K183" i="9" s="1"/>
  <c r="R152" i="9"/>
  <c r="F190" i="9"/>
  <c r="N152" i="9"/>
  <c r="F196" i="9"/>
  <c r="E178" i="9"/>
  <c r="E182" i="9" s="1"/>
  <c r="P154" i="9"/>
  <c r="O158" i="9"/>
  <c r="Q158" i="9"/>
  <c r="P140" i="9" a="1"/>
  <c r="P140" i="9" s="1"/>
  <c r="J140" i="9" a="1"/>
  <c r="J140" i="9" s="1"/>
  <c r="J153" i="9" s="1"/>
  <c r="E140" i="9" a="1"/>
  <c r="E140" i="9" s="1"/>
  <c r="E153" i="9" s="1"/>
  <c r="I140" i="9" a="1"/>
  <c r="I140" i="9" s="1"/>
  <c r="I153" i="9" s="1"/>
  <c r="F140" i="9" a="1"/>
  <c r="F140" i="9" s="1"/>
  <c r="F153" i="9" s="1"/>
  <c r="H140" i="9" a="1"/>
  <c r="H140" i="9" s="1"/>
  <c r="H153" i="9" s="1"/>
  <c r="M140" i="9" a="1"/>
  <c r="M140" i="9" s="1"/>
  <c r="M153" i="9" s="1"/>
  <c r="L140" i="9" a="1"/>
  <c r="L140" i="9" s="1"/>
  <c r="L153" i="9" s="1"/>
  <c r="U153" i="9" s="1"/>
  <c r="K140" i="9" a="1"/>
  <c r="K140" i="9" s="1"/>
  <c r="K153" i="9" s="1"/>
  <c r="G140" i="9" a="1"/>
  <c r="G140" i="9" s="1"/>
  <c r="G153" i="9" s="1"/>
  <c r="O157" i="9"/>
  <c r="R131" i="9"/>
  <c r="X131" i="9"/>
  <c r="P131" i="9"/>
  <c r="V131" i="9"/>
  <c r="U131" i="9"/>
  <c r="Q131" i="9"/>
  <c r="W131" i="9"/>
  <c r="T131" i="9"/>
  <c r="S131" i="9"/>
  <c r="P157" i="9"/>
  <c r="N155" i="9"/>
  <c r="F193" i="9"/>
  <c r="H137" i="9" a="1"/>
  <c r="H137" i="9" s="1"/>
  <c r="H150" i="9" s="1"/>
  <c r="M137" i="9" a="1"/>
  <c r="M137" i="9" s="1"/>
  <c r="M150" i="9" s="1"/>
  <c r="I137" i="9" a="1"/>
  <c r="I137" i="9" s="1"/>
  <c r="I150" i="9" s="1"/>
  <c r="K137" i="9" a="1"/>
  <c r="K137" i="9" s="1"/>
  <c r="K150" i="9" s="1"/>
  <c r="G137" i="9" a="1"/>
  <c r="G137" i="9" s="1"/>
  <c r="G150" i="9" s="1"/>
  <c r="E137" i="9" a="1"/>
  <c r="E137" i="9" s="1"/>
  <c r="E150" i="9" s="1"/>
  <c r="F137" i="9" a="1"/>
  <c r="F137" i="9" s="1"/>
  <c r="F150" i="9" s="1"/>
  <c r="L137" i="9" a="1"/>
  <c r="L137" i="9" s="1"/>
  <c r="L150" i="9" s="1"/>
  <c r="J137" i="9" a="1"/>
  <c r="J137" i="9" s="1"/>
  <c r="J150" i="9" s="1"/>
  <c r="R155" i="9"/>
  <c r="U158" i="9"/>
  <c r="P155" i="9"/>
  <c r="V157" i="9"/>
  <c r="S151" i="9"/>
  <c r="J178" i="9"/>
  <c r="J182" i="9" s="1"/>
  <c r="O155" i="9"/>
  <c r="R151" i="9"/>
  <c r="I178" i="9"/>
  <c r="I182" i="9" s="1"/>
  <c r="N157" i="9"/>
  <c r="F195" i="9"/>
  <c r="T155" i="9"/>
  <c r="T154" i="9"/>
  <c r="R154" i="9"/>
  <c r="S158" i="9"/>
  <c r="Q155" i="9"/>
  <c r="N154" i="9"/>
  <c r="F192" i="9"/>
  <c r="S157" i="9"/>
  <c r="U155" i="9"/>
  <c r="R158" i="9"/>
  <c r="T157" i="9"/>
  <c r="Q157" i="9"/>
  <c r="V155" i="9"/>
  <c r="V151" i="9"/>
  <c r="M178" i="9"/>
  <c r="M182" i="9" s="1"/>
  <c r="O152" i="9"/>
  <c r="F179" i="9"/>
  <c r="F183" i="9" s="1"/>
  <c r="U157" i="9"/>
  <c r="G127" i="9"/>
  <c r="M143" i="9" a="1"/>
  <c r="M143" i="9" s="1"/>
  <c r="M156" i="9" s="1"/>
  <c r="F143" i="9" a="1"/>
  <c r="F143" i="9" s="1"/>
  <c r="F156" i="9" s="1"/>
  <c r="J143" i="9" a="1"/>
  <c r="J143" i="9" s="1"/>
  <c r="J156" i="9" s="1"/>
  <c r="K143" i="9" a="1"/>
  <c r="K143" i="9" s="1"/>
  <c r="K156" i="9" s="1"/>
  <c r="I143" i="9" a="1"/>
  <c r="I143" i="9" s="1"/>
  <c r="I156" i="9" s="1"/>
  <c r="L143" i="9" a="1"/>
  <c r="L143" i="9" s="1"/>
  <c r="L156" i="9" s="1"/>
  <c r="H143" i="9" a="1"/>
  <c r="H143" i="9" s="1"/>
  <c r="H156" i="9" s="1"/>
  <c r="E143" i="9" a="1"/>
  <c r="E143" i="9" s="1"/>
  <c r="E156" i="9" s="1"/>
  <c r="G143" i="9" a="1"/>
  <c r="G143" i="9" s="1"/>
  <c r="G156" i="9" s="1"/>
  <c r="S155" i="9"/>
  <c r="M142" i="5" a="1"/>
  <c r="M142" i="5" s="1"/>
  <c r="M155" i="5" s="1"/>
  <c r="L142" i="5" a="1"/>
  <c r="L142" i="5" s="1"/>
  <c r="L155" i="5" s="1"/>
  <c r="G142" i="5" a="1"/>
  <c r="G142" i="5" s="1"/>
  <c r="G155" i="5" s="1"/>
  <c r="H142" i="5" a="1"/>
  <c r="H142" i="5" s="1"/>
  <c r="H155" i="5" s="1"/>
  <c r="L145" i="5" a="1"/>
  <c r="L145" i="5" s="1"/>
  <c r="L158" i="5" s="1"/>
  <c r="H145" i="5" a="1"/>
  <c r="H145" i="5" s="1"/>
  <c r="H158" i="5" s="1"/>
  <c r="G145" i="5" a="1"/>
  <c r="G145" i="5" s="1"/>
  <c r="G158" i="5" s="1"/>
  <c r="I145" i="5" a="1"/>
  <c r="I145" i="5" s="1"/>
  <c r="I158" i="5" s="1"/>
  <c r="F145" i="5" a="1"/>
  <c r="F145" i="5" s="1"/>
  <c r="F158" i="5" s="1"/>
  <c r="M145" i="5" a="1"/>
  <c r="M145" i="5" s="1"/>
  <c r="M158" i="5" s="1"/>
  <c r="K145" i="5" a="1"/>
  <c r="K145" i="5" s="1"/>
  <c r="K158" i="5" s="1"/>
  <c r="E145" i="5" a="1"/>
  <c r="E145" i="5" s="1"/>
  <c r="E158" i="5" s="1"/>
  <c r="J145" i="5" a="1"/>
  <c r="J145" i="5" s="1"/>
  <c r="J158" i="5" s="1"/>
  <c r="G138" i="5" a="1"/>
  <c r="G138" i="5" s="1"/>
  <c r="G151" i="5" s="1"/>
  <c r="H138" i="5" a="1"/>
  <c r="H138" i="5" s="1"/>
  <c r="H151" i="5" s="1"/>
  <c r="G144" i="5" a="1"/>
  <c r="G144" i="5" s="1"/>
  <c r="G157" i="5" s="1"/>
  <c r="J138" i="5" a="1"/>
  <c r="J138" i="5" s="1"/>
  <c r="J151" i="5" s="1"/>
  <c r="F144" i="5" a="1"/>
  <c r="F144" i="5" s="1"/>
  <c r="F157" i="5" s="1"/>
  <c r="M144" i="5" a="1"/>
  <c r="M144" i="5" s="1"/>
  <c r="M157" i="5" s="1"/>
  <c r="L141" i="5" a="1"/>
  <c r="L141" i="5" s="1"/>
  <c r="L154" i="5" s="1"/>
  <c r="H144" i="5" a="1"/>
  <c r="H144" i="5" s="1"/>
  <c r="H157" i="5" s="1"/>
  <c r="J144" i="5" a="1"/>
  <c r="J144" i="5" s="1"/>
  <c r="J157" i="5" s="1"/>
  <c r="E138" i="5" a="1"/>
  <c r="E138" i="5" s="1"/>
  <c r="E151" i="5" s="1"/>
  <c r="I138" i="5" a="1"/>
  <c r="I138" i="5" s="1"/>
  <c r="I151" i="5" s="1"/>
  <c r="L138" i="5" a="1"/>
  <c r="L138" i="5" s="1"/>
  <c r="L151" i="5" s="1"/>
  <c r="L144" i="5" a="1"/>
  <c r="L144" i="5" s="1"/>
  <c r="L157" i="5" s="1"/>
  <c r="K138" i="5" a="1"/>
  <c r="K138" i="5" s="1"/>
  <c r="K151" i="5" s="1"/>
  <c r="H141" i="5" a="1"/>
  <c r="H141" i="5" s="1"/>
  <c r="H154" i="5" s="1"/>
  <c r="I144" i="5" a="1"/>
  <c r="I144" i="5" s="1"/>
  <c r="I157" i="5" s="1"/>
  <c r="K144" i="5" a="1"/>
  <c r="K144" i="5" s="1"/>
  <c r="K157" i="5" s="1"/>
  <c r="E144" i="5" a="1"/>
  <c r="E144" i="5" s="1"/>
  <c r="E157" i="5" s="1"/>
  <c r="K141" i="5" a="1"/>
  <c r="K141" i="5" s="1"/>
  <c r="K154" i="5" s="1"/>
  <c r="F138" i="5" a="1"/>
  <c r="F138" i="5" s="1"/>
  <c r="F151" i="5" s="1"/>
  <c r="I141" i="5" a="1"/>
  <c r="I141" i="5" s="1"/>
  <c r="I154" i="5" s="1"/>
  <c r="G141" i="5" a="1"/>
  <c r="G141" i="5" s="1"/>
  <c r="G154" i="5" s="1"/>
  <c r="E141" i="5" a="1"/>
  <c r="E141" i="5" s="1"/>
  <c r="E154" i="5" s="1"/>
  <c r="J141" i="5" a="1"/>
  <c r="J141" i="5" s="1"/>
  <c r="J154" i="5" s="1"/>
  <c r="M141" i="5" a="1"/>
  <c r="M141" i="5" s="1"/>
  <c r="M154" i="5" s="1"/>
  <c r="F141" i="5" a="1"/>
  <c r="F141" i="5" s="1"/>
  <c r="F154" i="5" s="1"/>
  <c r="M138" i="5" a="1"/>
  <c r="M138" i="5" s="1"/>
  <c r="M151" i="5" s="1"/>
  <c r="E142" i="5" a="1"/>
  <c r="E142" i="5" s="1"/>
  <c r="E155" i="5" s="1"/>
  <c r="M139" i="5" a="1"/>
  <c r="M139" i="5" s="1"/>
  <c r="M152" i="5" s="1"/>
  <c r="I142" i="5" a="1"/>
  <c r="I142" i="5" s="1"/>
  <c r="I155" i="5" s="1"/>
  <c r="K142" i="5" a="1"/>
  <c r="K142" i="5" s="1"/>
  <c r="K155" i="5" s="1"/>
  <c r="F121" i="5" a="1"/>
  <c r="F121" i="5" s="1"/>
  <c r="F118" i="5" a="1"/>
  <c r="F118" i="5" s="1"/>
  <c r="F124" i="5" a="1"/>
  <c r="F124" i="5" s="1"/>
  <c r="F142" i="5" a="1"/>
  <c r="F142" i="5" s="1"/>
  <c r="F155" i="5" s="1"/>
  <c r="L118" i="5"/>
  <c r="G124" i="5" a="1"/>
  <c r="G124" i="5" s="1"/>
  <c r="G121" i="5" a="1"/>
  <c r="G121" i="5" s="1"/>
  <c r="G118" i="5" a="1"/>
  <c r="G118" i="5" s="1"/>
  <c r="H139" i="5" a="1"/>
  <c r="H139" i="5" s="1"/>
  <c r="H152" i="5" s="1"/>
  <c r="K139" i="5" a="1"/>
  <c r="K139" i="5" s="1"/>
  <c r="K152" i="5" s="1"/>
  <c r="F139" i="5" a="1"/>
  <c r="F139" i="5" s="1"/>
  <c r="F152" i="5" s="1"/>
  <c r="J139" i="5" a="1"/>
  <c r="J139" i="5" s="1"/>
  <c r="J152" i="5" s="1"/>
  <c r="L139" i="5" a="1"/>
  <c r="L139" i="5" s="1"/>
  <c r="L152" i="5" s="1"/>
  <c r="E139" i="5" a="1"/>
  <c r="E139" i="5" s="1"/>
  <c r="E152" i="5" s="1"/>
  <c r="J142" i="5" a="1"/>
  <c r="J142" i="5" s="1"/>
  <c r="J155" i="5" s="1"/>
  <c r="W151" i="9" l="1"/>
  <c r="N183" i="9"/>
  <c r="W158" i="9"/>
  <c r="W154" i="9"/>
  <c r="W152" i="9"/>
  <c r="L179" i="5"/>
  <c r="L183" i="5" s="1"/>
  <c r="G179" i="5"/>
  <c r="G183" i="5" s="1"/>
  <c r="N182" i="9"/>
  <c r="P132" i="9" a="1"/>
  <c r="P132" i="9" s="1"/>
  <c r="W157" i="9"/>
  <c r="T153" i="9"/>
  <c r="G177" i="9"/>
  <c r="G181" i="9" s="1"/>
  <c r="G184" i="9" s="1"/>
  <c r="G200" i="9" s="1"/>
  <c r="P156" i="9"/>
  <c r="Q156" i="9"/>
  <c r="P153" i="9"/>
  <c r="N150" i="9"/>
  <c r="E177" i="9"/>
  <c r="E181" i="9" s="1"/>
  <c r="N159" i="9"/>
  <c r="U156" i="9"/>
  <c r="U150" i="9"/>
  <c r="L177" i="9"/>
  <c r="L181" i="9" s="1"/>
  <c r="L184" i="9" s="1"/>
  <c r="L200" i="9" s="1"/>
  <c r="V156" i="9"/>
  <c r="P150" i="9"/>
  <c r="V153" i="9"/>
  <c r="O150" i="9"/>
  <c r="T150" i="9"/>
  <c r="K177" i="9"/>
  <c r="K181" i="9" s="1"/>
  <c r="K184" i="9" s="1"/>
  <c r="K200" i="9" s="1"/>
  <c r="Q153" i="9"/>
  <c r="R156" i="9"/>
  <c r="R150" i="9"/>
  <c r="I177" i="9"/>
  <c r="I181" i="9" s="1"/>
  <c r="I184" i="9" s="1"/>
  <c r="I203" i="9" s="1"/>
  <c r="F177" i="9"/>
  <c r="F181" i="9" s="1"/>
  <c r="F184" i="9" s="1"/>
  <c r="F203" i="9" s="1"/>
  <c r="O153" i="9"/>
  <c r="F188" i="9"/>
  <c r="S150" i="9"/>
  <c r="J177" i="9"/>
  <c r="J181" i="9" s="1"/>
  <c r="J184" i="9" s="1"/>
  <c r="J206" i="9" s="1"/>
  <c r="O156" i="9"/>
  <c r="W155" i="9"/>
  <c r="V150" i="9"/>
  <c r="M177" i="9"/>
  <c r="M181" i="9" s="1"/>
  <c r="M184" i="9" s="1"/>
  <c r="R153" i="9"/>
  <c r="S156" i="9"/>
  <c r="Q150" i="9"/>
  <c r="H177" i="9"/>
  <c r="H181" i="9" s="1"/>
  <c r="H184" i="9" s="1"/>
  <c r="H206" i="9" s="1"/>
  <c r="N153" i="9"/>
  <c r="F191" i="9"/>
  <c r="T156" i="9"/>
  <c r="N156" i="9"/>
  <c r="F194" i="9"/>
  <c r="S153" i="9"/>
  <c r="I178" i="5"/>
  <c r="I182" i="5" s="1"/>
  <c r="L178" i="5"/>
  <c r="L182" i="5" s="1"/>
  <c r="I179" i="5"/>
  <c r="I183" i="5" s="1"/>
  <c r="F189" i="5"/>
  <c r="F178" i="5"/>
  <c r="F182" i="5" s="1"/>
  <c r="F192" i="5"/>
  <c r="J179" i="5"/>
  <c r="J183" i="5" s="1"/>
  <c r="F195" i="5"/>
  <c r="E178" i="5"/>
  <c r="E182" i="5" s="1"/>
  <c r="F179" i="5"/>
  <c r="F183" i="5" s="1"/>
  <c r="F193" i="5"/>
  <c r="F190" i="5"/>
  <c r="E179" i="5"/>
  <c r="E183" i="5" s="1"/>
  <c r="K179" i="5"/>
  <c r="K183" i="5" s="1"/>
  <c r="M179" i="5"/>
  <c r="M183" i="5" s="1"/>
  <c r="H179" i="5"/>
  <c r="H183" i="5" s="1"/>
  <c r="J178" i="5"/>
  <c r="J182" i="5" s="1"/>
  <c r="M137" i="5" a="1"/>
  <c r="M137" i="5" s="1"/>
  <c r="M150" i="5" s="1"/>
  <c r="L137" i="5" a="1"/>
  <c r="L137" i="5" s="1"/>
  <c r="L150" i="5" s="1"/>
  <c r="J137" i="5" a="1"/>
  <c r="J137" i="5" s="1"/>
  <c r="J150" i="5" s="1"/>
  <c r="K137" i="5" a="1"/>
  <c r="K137" i="5" s="1"/>
  <c r="K150" i="5" s="1"/>
  <c r="H137" i="5" a="1"/>
  <c r="H137" i="5" s="1"/>
  <c r="H150" i="5" s="1"/>
  <c r="I137" i="5" a="1"/>
  <c r="I137" i="5" s="1"/>
  <c r="I150" i="5" s="1"/>
  <c r="G137" i="5" a="1"/>
  <c r="G137" i="5" s="1"/>
  <c r="G150" i="5" s="1"/>
  <c r="F137" i="5" a="1"/>
  <c r="F137" i="5" s="1"/>
  <c r="F150" i="5" s="1"/>
  <c r="G127" i="5"/>
  <c r="E137" i="5" a="1"/>
  <c r="E137" i="5" s="1"/>
  <c r="E150" i="5" s="1"/>
  <c r="M178" i="5"/>
  <c r="M182" i="5" s="1"/>
  <c r="G178" i="5"/>
  <c r="G182" i="5" s="1"/>
  <c r="M140" i="5" a="1"/>
  <c r="M140" i="5" s="1"/>
  <c r="M153" i="5" s="1"/>
  <c r="G140" i="5" a="1"/>
  <c r="G140" i="5" s="1"/>
  <c r="G153" i="5" s="1"/>
  <c r="E140" i="5" a="1"/>
  <c r="E140" i="5" s="1"/>
  <c r="E153" i="5" s="1"/>
  <c r="L140" i="5" a="1"/>
  <c r="L140" i="5" s="1"/>
  <c r="L153" i="5" s="1"/>
  <c r="J140" i="5" a="1"/>
  <c r="J140" i="5" s="1"/>
  <c r="J153" i="5" s="1"/>
  <c r="K140" i="5" a="1"/>
  <c r="K140" i="5" s="1"/>
  <c r="K153" i="5" s="1"/>
  <c r="I140" i="5" a="1"/>
  <c r="I140" i="5" s="1"/>
  <c r="I153" i="5" s="1"/>
  <c r="H140" i="5" a="1"/>
  <c r="H140" i="5" s="1"/>
  <c r="H153" i="5" s="1"/>
  <c r="F140" i="5" a="1"/>
  <c r="F140" i="5" s="1"/>
  <c r="F153" i="5" s="1"/>
  <c r="K178" i="5"/>
  <c r="K182" i="5" s="1"/>
  <c r="H178" i="5"/>
  <c r="H182" i="5" s="1"/>
  <c r="F196" i="5"/>
  <c r="L143" i="5" a="1"/>
  <c r="L143" i="5" s="1"/>
  <c r="L156" i="5" s="1"/>
  <c r="K143" i="5" a="1"/>
  <c r="K143" i="5" s="1"/>
  <c r="K156" i="5" s="1"/>
  <c r="H143" i="5" a="1"/>
  <c r="H143" i="5" s="1"/>
  <c r="H156" i="5" s="1"/>
  <c r="M143" i="5" a="1"/>
  <c r="M143" i="5" s="1"/>
  <c r="M156" i="5" s="1"/>
  <c r="I143" i="5" a="1"/>
  <c r="I143" i="5" s="1"/>
  <c r="I156" i="5" s="1"/>
  <c r="F143" i="5" a="1"/>
  <c r="F143" i="5" s="1"/>
  <c r="F156" i="5" s="1"/>
  <c r="E143" i="5" a="1"/>
  <c r="E143" i="5" s="1"/>
  <c r="E156" i="5" s="1"/>
  <c r="J143" i="5" a="1"/>
  <c r="J143" i="5" s="1"/>
  <c r="J156" i="5" s="1"/>
  <c r="G143" i="5" a="1"/>
  <c r="G143" i="5" s="1"/>
  <c r="G156" i="5" s="1"/>
  <c r="W156" i="9" l="1"/>
  <c r="F206" i="9"/>
  <c r="G203" i="9"/>
  <c r="J203" i="9"/>
  <c r="W153" i="9"/>
  <c r="E184" i="9"/>
  <c r="N181" i="9"/>
  <c r="I206" i="9"/>
  <c r="L203" i="9"/>
  <c r="L202" i="9"/>
  <c r="L201" i="9"/>
  <c r="L204" i="9"/>
  <c r="L207" i="9"/>
  <c r="L205" i="9"/>
  <c r="L208" i="9"/>
  <c r="G206" i="9"/>
  <c r="G201" i="9"/>
  <c r="G208" i="9"/>
  <c r="G204" i="9"/>
  <c r="G202" i="9"/>
  <c r="G205" i="9"/>
  <c r="G207" i="9"/>
  <c r="M202" i="9"/>
  <c r="M204" i="9"/>
  <c r="M208" i="9"/>
  <c r="M205" i="9"/>
  <c r="M201" i="9"/>
  <c r="M207" i="9"/>
  <c r="M203" i="9"/>
  <c r="H201" i="9"/>
  <c r="H202" i="9"/>
  <c r="H208" i="9"/>
  <c r="H204" i="9"/>
  <c r="H205" i="9"/>
  <c r="H207" i="9"/>
  <c r="M206" i="9"/>
  <c r="I207" i="9"/>
  <c r="I202" i="9"/>
  <c r="I201" i="9"/>
  <c r="I205" i="9"/>
  <c r="I204" i="9"/>
  <c r="I208" i="9"/>
  <c r="H200" i="9"/>
  <c r="J200" i="9"/>
  <c r="J202" i="9"/>
  <c r="J204" i="9"/>
  <c r="J201" i="9"/>
  <c r="J207" i="9"/>
  <c r="J205" i="9"/>
  <c r="J208" i="9"/>
  <c r="H203" i="9"/>
  <c r="W150" i="9"/>
  <c r="K202" i="9"/>
  <c r="K201" i="9"/>
  <c r="K208" i="9"/>
  <c r="K205" i="9"/>
  <c r="K207" i="9"/>
  <c r="K204" i="9"/>
  <c r="F201" i="9"/>
  <c r="F204" i="9"/>
  <c r="F208" i="9"/>
  <c r="F207" i="9"/>
  <c r="F205" i="9"/>
  <c r="F202" i="9"/>
  <c r="F200" i="9"/>
  <c r="L206" i="9"/>
  <c r="K203" i="9"/>
  <c r="K206" i="9"/>
  <c r="M200" i="9"/>
  <c r="I200" i="9"/>
  <c r="K177" i="5"/>
  <c r="K181" i="5" s="1"/>
  <c r="K184" i="5" s="1"/>
  <c r="I177" i="5"/>
  <c r="I181" i="5" s="1"/>
  <c r="I184" i="5" s="1"/>
  <c r="H177" i="5"/>
  <c r="H181" i="5" s="1"/>
  <c r="H184" i="5" s="1"/>
  <c r="F177" i="5"/>
  <c r="F181" i="5" s="1"/>
  <c r="F184" i="5" s="1"/>
  <c r="F200" i="5" s="1"/>
  <c r="E5" i="6" a="1"/>
  <c r="E5" i="6" s="1"/>
  <c r="N14" i="6" s="1"/>
  <c r="N159" i="5"/>
  <c r="F188" i="5"/>
  <c r="E177" i="5"/>
  <c r="E181" i="5" s="1"/>
  <c r="E184" i="5" s="1"/>
  <c r="E203" i="5" s="1"/>
  <c r="F191" i="5"/>
  <c r="J177" i="5"/>
  <c r="J181" i="5" s="1"/>
  <c r="J184" i="5" s="1"/>
  <c r="L177" i="5"/>
  <c r="L181" i="5" s="1"/>
  <c r="L184" i="5" s="1"/>
  <c r="F194" i="5"/>
  <c r="G177" i="5"/>
  <c r="G181" i="5" s="1"/>
  <c r="G184" i="5" s="1"/>
  <c r="G200" i="5" s="1"/>
  <c r="M177" i="5"/>
  <c r="M181" i="5" s="1"/>
  <c r="M184" i="5" s="1"/>
  <c r="M200" i="5" s="1"/>
  <c r="N184" i="9" l="1"/>
  <c r="N185" i="9" s="1"/>
  <c r="N186" i="9" s="1"/>
  <c r="G188" i="9" a="1"/>
  <c r="E208" i="9"/>
  <c r="E202" i="9"/>
  <c r="E201" i="9"/>
  <c r="E207" i="9"/>
  <c r="E204" i="9"/>
  <c r="E205" i="9"/>
  <c r="E206" i="9"/>
  <c r="E203" i="9"/>
  <c r="E200" i="9"/>
  <c r="E213" i="9" s="1" a="1"/>
  <c r="E213" i="9" s="1"/>
  <c r="N184" i="5"/>
  <c r="E200" i="5"/>
  <c r="I203" i="5"/>
  <c r="I202" i="5"/>
  <c r="I201" i="5"/>
  <c r="I205" i="5"/>
  <c r="I204" i="5"/>
  <c r="I208" i="5"/>
  <c r="I207" i="5"/>
  <c r="I200" i="5"/>
  <c r="M206" i="5"/>
  <c r="K200" i="5"/>
  <c r="K206" i="5"/>
  <c r="K207" i="5"/>
  <c r="K201" i="5"/>
  <c r="K202" i="5"/>
  <c r="K204" i="5"/>
  <c r="K208" i="5"/>
  <c r="K205" i="5"/>
  <c r="L206" i="5"/>
  <c r="L201" i="5"/>
  <c r="L202" i="5"/>
  <c r="L207" i="5"/>
  <c r="L203" i="5"/>
  <c r="L204" i="5"/>
  <c r="L200" i="5"/>
  <c r="L208" i="5"/>
  <c r="L205" i="5"/>
  <c r="H203" i="5"/>
  <c r="H207" i="5"/>
  <c r="H205" i="5"/>
  <c r="H208" i="5"/>
  <c r="H204" i="5"/>
  <c r="H202" i="5"/>
  <c r="H206" i="5"/>
  <c r="H200" i="5"/>
  <c r="H201" i="5"/>
  <c r="J200" i="5"/>
  <c r="J204" i="5"/>
  <c r="J207" i="5"/>
  <c r="J208" i="5"/>
  <c r="J202" i="5"/>
  <c r="J201" i="5"/>
  <c r="J205" i="5"/>
  <c r="J203" i="5"/>
  <c r="J206" i="5"/>
  <c r="B188" i="5" a="1"/>
  <c r="E204" i="5"/>
  <c r="E208" i="5"/>
  <c r="E15" i="6" a="1"/>
  <c r="E202" i="5"/>
  <c r="E205" i="5"/>
  <c r="E201" i="5"/>
  <c r="E207" i="5"/>
  <c r="I206" i="5"/>
  <c r="F203" i="5"/>
  <c r="F202" i="5"/>
  <c r="F205" i="5"/>
  <c r="F204" i="5"/>
  <c r="F201" i="5"/>
  <c r="F208" i="5"/>
  <c r="F207" i="5"/>
  <c r="G206" i="5"/>
  <c r="G203" i="5"/>
  <c r="G202" i="5"/>
  <c r="G201" i="5"/>
  <c r="G207" i="5"/>
  <c r="G205" i="5"/>
  <c r="G204" i="5"/>
  <c r="G208" i="5"/>
  <c r="E60" i="6" a="1"/>
  <c r="E60" i="6" s="1"/>
  <c r="K203" i="5"/>
  <c r="E206" i="5"/>
  <c r="M203" i="5"/>
  <c r="M201" i="5"/>
  <c r="M204" i="5"/>
  <c r="M208" i="5"/>
  <c r="M202" i="5"/>
  <c r="M205" i="5"/>
  <c r="M207" i="5"/>
  <c r="F206" i="5"/>
  <c r="G188" i="9" l="1"/>
  <c r="D189" i="9"/>
  <c r="E189" i="9" s="1"/>
  <c r="B189" i="9" s="1"/>
  <c r="D191" i="9"/>
  <c r="E191" i="9" s="1"/>
  <c r="B191" i="9" s="1"/>
  <c r="D196" i="9"/>
  <c r="E196" i="9" s="1"/>
  <c r="B196" i="9" s="1"/>
  <c r="D190" i="9"/>
  <c r="E190" i="9" s="1"/>
  <c r="B190" i="9" s="1"/>
  <c r="D194" i="9"/>
  <c r="E194" i="9" s="1"/>
  <c r="B194" i="9" s="1"/>
  <c r="D192" i="9"/>
  <c r="E192" i="9" s="1"/>
  <c r="B192" i="9" s="1"/>
  <c r="D193" i="9"/>
  <c r="E193" i="9" s="1"/>
  <c r="B193" i="9" s="1"/>
  <c r="D195" i="9"/>
  <c r="E195" i="9" s="1"/>
  <c r="B195" i="9" s="1"/>
  <c r="H189" i="9"/>
  <c r="I189" i="9" s="1"/>
  <c r="H190" i="9"/>
  <c r="I190" i="9" s="1"/>
  <c r="H196" i="9"/>
  <c r="I196" i="9" s="1"/>
  <c r="H192" i="9"/>
  <c r="I192" i="9" s="1"/>
  <c r="H193" i="9"/>
  <c r="I193" i="9" s="1"/>
  <c r="H195" i="9"/>
  <c r="I195" i="9" s="1"/>
  <c r="H191" i="9"/>
  <c r="I191" i="9" s="1"/>
  <c r="H194" i="9"/>
  <c r="I194" i="9" s="1"/>
  <c r="E21" i="6" a="1"/>
  <c r="E21" i="6" s="1"/>
  <c r="E36" i="6" s="1" a="1"/>
  <c r="E36" i="6" s="1"/>
  <c r="J14" i="6"/>
  <c r="J30" i="6" s="1"/>
  <c r="G14" i="6"/>
  <c r="G30" i="6" s="1"/>
  <c r="E15" i="6"/>
  <c r="E14" i="6" s="1"/>
  <c r="E30" i="6" s="1"/>
  <c r="I14" i="6"/>
  <c r="I30" i="6" s="1"/>
  <c r="F14" i="6"/>
  <c r="F30" i="6" s="1"/>
  <c r="L14" i="6"/>
  <c r="L30" i="6" s="1"/>
  <c r="H14" i="6"/>
  <c r="H30" i="6" s="1"/>
  <c r="K14" i="6"/>
  <c r="K30" i="6" s="1"/>
  <c r="M14" i="6"/>
  <c r="M30" i="6" s="1"/>
  <c r="E213" i="5" a="1"/>
  <c r="E213" i="5" s="1"/>
  <c r="G196" i="5"/>
  <c r="G190" i="5"/>
  <c r="B188" i="5"/>
  <c r="G188" i="5" s="1"/>
  <c r="G192" i="5"/>
  <c r="G191" i="5"/>
  <c r="G193" i="5"/>
  <c r="G189" i="5"/>
  <c r="G194" i="5"/>
  <c r="G195" i="5"/>
  <c r="D188" i="9" l="1"/>
  <c r="E188" i="9" s="1"/>
  <c r="B188" i="9" s="1"/>
  <c r="H188" i="9"/>
  <c r="I188" i="9" s="1"/>
  <c r="J31" i="6"/>
  <c r="F31" i="6"/>
  <c r="I31" i="6"/>
  <c r="E31" i="6"/>
  <c r="M31" i="6"/>
  <c r="K31" i="6"/>
  <c r="L31" i="6"/>
  <c r="G31" i="6"/>
  <c r="H31" i="6"/>
  <c r="D192" i="5"/>
  <c r="E192" i="5" s="1"/>
  <c r="H192" i="5"/>
  <c r="I192" i="5" s="1"/>
  <c r="H188" i="5"/>
  <c r="I188" i="5" s="1"/>
  <c r="D188" i="5"/>
  <c r="E188" i="5" s="1"/>
  <c r="D190" i="5"/>
  <c r="E190" i="5" s="1"/>
  <c r="H190" i="5"/>
  <c r="I190" i="5" s="1"/>
  <c r="O5" i="6" a="1"/>
  <c r="D194" i="5"/>
  <c r="E194" i="5" s="1"/>
  <c r="H194" i="5"/>
  <c r="I194" i="5" s="1"/>
  <c r="D189" i="5"/>
  <c r="E189" i="5" s="1"/>
  <c r="H189" i="5"/>
  <c r="I189" i="5" s="1"/>
  <c r="H193" i="5"/>
  <c r="I193" i="5" s="1"/>
  <c r="D193" i="5"/>
  <c r="E193" i="5" s="1"/>
  <c r="D196" i="5"/>
  <c r="E196" i="5" s="1"/>
  <c r="H196" i="5"/>
  <c r="I196" i="5" s="1"/>
  <c r="H195" i="5"/>
  <c r="I195" i="5" s="1"/>
  <c r="D195" i="5"/>
  <c r="E195" i="5" s="1"/>
  <c r="D191" i="5"/>
  <c r="E191" i="5" s="1"/>
  <c r="H191" i="5"/>
  <c r="I191" i="5" s="1"/>
  <c r="N10" i="6" l="1"/>
  <c r="N12" i="6"/>
  <c r="O5" i="6"/>
  <c r="F60" i="6" s="1" a="1"/>
  <c r="N8" i="6"/>
  <c r="N13" i="6"/>
  <c r="N7" i="6"/>
  <c r="N11" i="6"/>
  <c r="N9" i="6"/>
  <c r="N6" i="6"/>
  <c r="N47" i="6" l="1" a="1"/>
  <c r="N47" i="6" s="1"/>
  <c r="N56" i="6" s="1"/>
  <c r="F60" i="6"/>
  <c r="G62" i="6"/>
  <c r="G61" i="6"/>
  <c r="G65" i="6"/>
  <c r="G64" i="6"/>
  <c r="G63" i="6"/>
  <c r="G66" i="6"/>
  <c r="G67" i="6"/>
  <c r="G68" i="6"/>
  <c r="O47" i="6" a="1"/>
  <c r="O47" i="6" s="1"/>
  <c r="O56" i="6" s="1"/>
  <c r="E16" i="6" a="1"/>
  <c r="N5" i="6"/>
  <c r="H47" i="6" s="1" a="1"/>
  <c r="H47" i="6" s="1"/>
  <c r="P5" i="6" a="1"/>
  <c r="E16" i="6" l="1"/>
  <c r="E17" i="6" s="1"/>
  <c r="H17" i="6"/>
  <c r="L17" i="6"/>
  <c r="K17" i="6"/>
  <c r="G17" i="6"/>
  <c r="F17" i="6"/>
  <c r="J17" i="6"/>
  <c r="M17" i="6"/>
  <c r="I17" i="6"/>
  <c r="C188" i="6" a="1"/>
  <c r="C188" i="6" s="1"/>
  <c r="H56" i="6"/>
  <c r="P5" i="6"/>
  <c r="Q5" i="6" s="1"/>
  <c r="R5" i="6" s="1"/>
  <c r="Q12" i="6"/>
  <c r="R12" i="6" s="1"/>
  <c r="Q8" i="6"/>
  <c r="R8" i="6" s="1"/>
  <c r="Q7" i="6"/>
  <c r="R7" i="6" s="1"/>
  <c r="Q9" i="6"/>
  <c r="R9" i="6" s="1"/>
  <c r="Q13" i="6"/>
  <c r="R13" i="6" s="1"/>
  <c r="Q11" i="6"/>
  <c r="R11" i="6" s="1"/>
  <c r="Q6" i="6"/>
  <c r="R6" i="6" s="1"/>
  <c r="Q10" i="6"/>
  <c r="R10" i="6" s="1"/>
  <c r="G60" i="6"/>
  <c r="D88" i="6" a="1"/>
  <c r="G90" i="6" l="1"/>
  <c r="H99" i="6"/>
  <c r="L102" i="6"/>
  <c r="G100" i="6"/>
  <c r="L95" i="6"/>
  <c r="F98" i="6"/>
  <c r="M96" i="6"/>
  <c r="J99" i="6"/>
  <c r="L90" i="6"/>
  <c r="F101" i="6"/>
  <c r="H102" i="6"/>
  <c r="F97" i="6"/>
  <c r="I99" i="6"/>
  <c r="E94" i="6"/>
  <c r="E99" i="6"/>
  <c r="H98" i="6"/>
  <c r="M100" i="6"/>
  <c r="K94" i="6"/>
  <c r="I98" i="6"/>
  <c r="M95" i="6"/>
  <c r="M90" i="6"/>
  <c r="F96" i="6"/>
  <c r="M98" i="6"/>
  <c r="G101" i="6"/>
  <c r="J100" i="6"/>
  <c r="J97" i="6"/>
  <c r="I100" i="6"/>
  <c r="E95" i="6"/>
  <c r="M99" i="6"/>
  <c r="M94" i="6"/>
  <c r="I90" i="6"/>
  <c r="F95" i="6"/>
  <c r="K90" i="6"/>
  <c r="E101" i="6"/>
  <c r="E90" i="6"/>
  <c r="I102" i="6"/>
  <c r="K101" i="6"/>
  <c r="F90" i="6"/>
  <c r="E100" i="6"/>
  <c r="I97" i="6"/>
  <c r="J96" i="6"/>
  <c r="I94" i="6"/>
  <c r="G99" i="6"/>
  <c r="E97" i="6"/>
  <c r="H97" i="6"/>
  <c r="G98" i="6"/>
  <c r="J94" i="6"/>
  <c r="H100" i="6"/>
  <c r="H94" i="6"/>
  <c r="K102" i="6"/>
  <c r="L100" i="6"/>
  <c r="M101" i="6"/>
  <c r="E102" i="6"/>
  <c r="M102" i="6"/>
  <c r="J90" i="6"/>
  <c r="L99" i="6"/>
  <c r="M97" i="6"/>
  <c r="I96" i="6"/>
  <c r="L101" i="6"/>
  <c r="L98" i="6"/>
  <c r="G96" i="6"/>
  <c r="J102" i="6"/>
  <c r="D88" i="6"/>
  <c r="H96" i="6"/>
  <c r="F100" i="6"/>
  <c r="F102" i="6"/>
  <c r="J101" i="6"/>
  <c r="F94" i="6"/>
  <c r="G94" i="6"/>
  <c r="J95" i="6"/>
  <c r="H95" i="6"/>
  <c r="L94" i="6"/>
  <c r="E96" i="6"/>
  <c r="H90" i="6"/>
  <c r="K100" i="6"/>
  <c r="J98" i="6"/>
  <c r="G102" i="6"/>
  <c r="E98" i="6"/>
  <c r="K99" i="6"/>
  <c r="K97" i="6"/>
  <c r="I101" i="6"/>
  <c r="K95" i="6"/>
  <c r="G97" i="6"/>
  <c r="G95" i="6"/>
  <c r="I95" i="6"/>
  <c r="K98" i="6"/>
  <c r="F99" i="6"/>
  <c r="L96" i="6"/>
  <c r="K96" i="6"/>
  <c r="L97" i="6"/>
  <c r="H101" i="6"/>
  <c r="M72" i="6" a="1"/>
  <c r="M72" i="6" s="1"/>
  <c r="M74" i="6" s="1"/>
  <c r="J72" i="6" a="1"/>
  <c r="J72" i="6" s="1"/>
  <c r="J74" i="6" s="1"/>
  <c r="K72" i="6" a="1"/>
  <c r="K72" i="6" s="1"/>
  <c r="K74" i="6" s="1"/>
  <c r="F72" i="6" a="1"/>
  <c r="F72" i="6" s="1"/>
  <c r="F74" i="6" s="1"/>
  <c r="G72" i="6" a="1"/>
  <c r="G72" i="6" s="1"/>
  <c r="G74" i="6" s="1"/>
  <c r="H72" i="6" a="1"/>
  <c r="H72" i="6" s="1"/>
  <c r="H74" i="6" s="1"/>
  <c r="I72" i="6" a="1"/>
  <c r="I72" i="6" s="1"/>
  <c r="I74" i="6" s="1"/>
  <c r="E72" i="6" a="1"/>
  <c r="E72" i="6" s="1"/>
  <c r="E74" i="6" s="1"/>
  <c r="L72" i="6" a="1"/>
  <c r="L72" i="6" s="1"/>
  <c r="L74" i="6" s="1"/>
  <c r="N103" i="6" l="1"/>
  <c r="B78" i="6" a="1"/>
  <c r="K79" i="6" l="1"/>
  <c r="K107" i="6" s="1"/>
  <c r="E86" i="6"/>
  <c r="L83" i="6"/>
  <c r="L111" i="6" s="1"/>
  <c r="G85" i="6"/>
  <c r="G113" i="6" s="1"/>
  <c r="M85" i="6"/>
  <c r="M113" i="6" s="1"/>
  <c r="F81" i="6"/>
  <c r="F109" i="6" s="1"/>
  <c r="M83" i="6"/>
  <c r="M111" i="6" s="1"/>
  <c r="F82" i="6"/>
  <c r="F110" i="6" s="1"/>
  <c r="E79" i="6"/>
  <c r="F80" i="6"/>
  <c r="F108" i="6" s="1"/>
  <c r="I84" i="6"/>
  <c r="I112" i="6" s="1"/>
  <c r="M86" i="6"/>
  <c r="M114" i="6" s="1"/>
  <c r="E81" i="6"/>
  <c r="J86" i="6"/>
  <c r="J114" i="6" s="1"/>
  <c r="I85" i="6"/>
  <c r="I113" i="6" s="1"/>
  <c r="J79" i="6"/>
  <c r="J107" i="6" s="1"/>
  <c r="J84" i="6"/>
  <c r="J112" i="6" s="1"/>
  <c r="G81" i="6"/>
  <c r="G109" i="6" s="1"/>
  <c r="J81" i="6"/>
  <c r="J109" i="6" s="1"/>
  <c r="M82" i="6"/>
  <c r="M110" i="6" s="1"/>
  <c r="H82" i="6"/>
  <c r="H110" i="6" s="1"/>
  <c r="G83" i="6"/>
  <c r="G111" i="6" s="1"/>
  <c r="M80" i="6"/>
  <c r="M108" i="6" s="1"/>
  <c r="I86" i="6"/>
  <c r="I114" i="6" s="1"/>
  <c r="G82" i="6"/>
  <c r="G110" i="6" s="1"/>
  <c r="B78" i="6"/>
  <c r="L80" i="6"/>
  <c r="L108" i="6" s="1"/>
  <c r="M79" i="6"/>
  <c r="M107" i="6" s="1"/>
  <c r="J80" i="6"/>
  <c r="J108" i="6" s="1"/>
  <c r="M84" i="6"/>
  <c r="M112" i="6" s="1"/>
  <c r="L81" i="6"/>
  <c r="L109" i="6" s="1"/>
  <c r="F79" i="6"/>
  <c r="F107" i="6" s="1"/>
  <c r="M81" i="6"/>
  <c r="M109" i="6" s="1"/>
  <c r="H85" i="6"/>
  <c r="H113" i="6" s="1"/>
  <c r="I83" i="6"/>
  <c r="I111" i="6" s="1"/>
  <c r="E83" i="6"/>
  <c r="J83" i="6"/>
  <c r="J111" i="6" s="1"/>
  <c r="G86" i="6"/>
  <c r="G114" i="6" s="1"/>
  <c r="L84" i="6"/>
  <c r="L112" i="6" s="1"/>
  <c r="L86" i="6"/>
  <c r="L114" i="6" s="1"/>
  <c r="I80" i="6"/>
  <c r="I108" i="6" s="1"/>
  <c r="K86" i="6"/>
  <c r="K114" i="6" s="1"/>
  <c r="E82" i="6"/>
  <c r="J85" i="6"/>
  <c r="J113" i="6" s="1"/>
  <c r="K84" i="6"/>
  <c r="K112" i="6" s="1"/>
  <c r="F85" i="6"/>
  <c r="F113" i="6" s="1"/>
  <c r="K80" i="6"/>
  <c r="K108" i="6" s="1"/>
  <c r="K133" i="6" s="1"/>
  <c r="F86" i="6"/>
  <c r="F114" i="6" s="1"/>
  <c r="L82" i="6"/>
  <c r="L110" i="6" s="1"/>
  <c r="K83" i="6"/>
  <c r="K111" i="6" s="1"/>
  <c r="H81" i="6"/>
  <c r="H109" i="6" s="1"/>
  <c r="F84" i="6"/>
  <c r="F112" i="6" s="1"/>
  <c r="J82" i="6"/>
  <c r="J110" i="6" s="1"/>
  <c r="I81" i="6"/>
  <c r="I109" i="6" s="1"/>
  <c r="G80" i="6"/>
  <c r="G108" i="6" s="1"/>
  <c r="E85" i="6"/>
  <c r="K85" i="6"/>
  <c r="K113" i="6" s="1"/>
  <c r="H84" i="6"/>
  <c r="H112" i="6" s="1"/>
  <c r="K81" i="6"/>
  <c r="K109" i="6" s="1"/>
  <c r="I79" i="6"/>
  <c r="I107" i="6" s="1"/>
  <c r="H83" i="6"/>
  <c r="H111" i="6" s="1"/>
  <c r="K82" i="6"/>
  <c r="K110" i="6" s="1"/>
  <c r="H80" i="6"/>
  <c r="H108" i="6" s="1"/>
  <c r="F83" i="6"/>
  <c r="F111" i="6" s="1"/>
  <c r="L85" i="6"/>
  <c r="L113" i="6" s="1"/>
  <c r="E80" i="6"/>
  <c r="H79" i="6"/>
  <c r="H107" i="6" s="1"/>
  <c r="G79" i="6"/>
  <c r="G107" i="6" s="1"/>
  <c r="H86" i="6"/>
  <c r="H114" i="6" s="1"/>
  <c r="L79" i="6"/>
  <c r="L107" i="6" s="1"/>
  <c r="E84" i="6"/>
  <c r="G84" i="6"/>
  <c r="G112" i="6" s="1"/>
  <c r="I82" i="6"/>
  <c r="I110" i="6" s="1"/>
  <c r="G132" i="6" l="1"/>
  <c r="I132" i="6"/>
  <c r="L132" i="6"/>
  <c r="L133" i="6"/>
  <c r="M133" i="6"/>
  <c r="E123" i="6"/>
  <c r="E111" i="6"/>
  <c r="N111" i="6" s="1"/>
  <c r="F133" i="6"/>
  <c r="F132" i="6"/>
  <c r="G133" i="6"/>
  <c r="E122" i="6"/>
  <c r="E110" i="6"/>
  <c r="N110" i="6" s="1"/>
  <c r="I133" i="6"/>
  <c r="J133" i="6"/>
  <c r="M132" i="6"/>
  <c r="J132" i="6"/>
  <c r="H133" i="6"/>
  <c r="E107" i="6"/>
  <c r="E119" i="6"/>
  <c r="E125" i="6"/>
  <c r="E113" i="6"/>
  <c r="N113" i="6" s="1"/>
  <c r="E120" i="6"/>
  <c r="E108" i="6"/>
  <c r="E78" i="6"/>
  <c r="L78" i="6"/>
  <c r="L106" i="6" s="1"/>
  <c r="L131" i="6" s="1"/>
  <c r="G78" i="6"/>
  <c r="G106" i="6" s="1"/>
  <c r="G131" i="6" s="1"/>
  <c r="H78" i="6"/>
  <c r="H106" i="6" s="1"/>
  <c r="H131" i="6" s="1"/>
  <c r="I78" i="6"/>
  <c r="I106" i="6" s="1"/>
  <c r="I131" i="6" s="1"/>
  <c r="F78" i="6"/>
  <c r="F106" i="6" s="1"/>
  <c r="F131" i="6" s="1"/>
  <c r="J78" i="6"/>
  <c r="J106" i="6" s="1"/>
  <c r="J131" i="6" s="1"/>
  <c r="K78" i="6"/>
  <c r="K106" i="6" s="1"/>
  <c r="K131" i="6" s="1"/>
  <c r="M78" i="6"/>
  <c r="M106" i="6" s="1"/>
  <c r="M131" i="6" s="1"/>
  <c r="E126" i="6"/>
  <c r="E114" i="6"/>
  <c r="N114" i="6" s="1"/>
  <c r="E112" i="6"/>
  <c r="N112" i="6" s="1"/>
  <c r="E124" i="6"/>
  <c r="H132" i="6"/>
  <c r="E121" i="6"/>
  <c r="E109" i="6"/>
  <c r="N109" i="6" s="1"/>
  <c r="K132" i="6"/>
  <c r="E133" i="6" l="1"/>
  <c r="N108" i="6"/>
  <c r="K120" i="6" s="1"/>
  <c r="F126" i="6" s="1" a="1"/>
  <c r="F126" i="6" s="1"/>
  <c r="J120" i="6"/>
  <c r="G126" i="6" s="1" a="1"/>
  <c r="G126" i="6" s="1"/>
  <c r="E118" i="6"/>
  <c r="E106" i="6"/>
  <c r="N87" i="6"/>
  <c r="J119" i="6"/>
  <c r="G122" i="6" s="1" a="1"/>
  <c r="G122" i="6" s="1"/>
  <c r="E132" i="6"/>
  <c r="N107" i="6"/>
  <c r="K119" i="6" s="1"/>
  <c r="F119" i="6" s="1" a="1"/>
  <c r="F119" i="6" s="1"/>
  <c r="N106" i="6" l="1"/>
  <c r="K118" i="6" s="1"/>
  <c r="N115" i="6"/>
  <c r="E131" i="6"/>
  <c r="G120" i="6" a="1"/>
  <c r="G120" i="6" s="1"/>
  <c r="L120" i="6"/>
  <c r="J145" i="6" s="1" a="1"/>
  <c r="J145" i="6" s="1"/>
  <c r="J158" i="6" s="1"/>
  <c r="E127" i="6"/>
  <c r="J118" i="6"/>
  <c r="G123" i="6" a="1"/>
  <c r="G123" i="6" s="1"/>
  <c r="F120" i="6" a="1"/>
  <c r="F120" i="6" s="1"/>
  <c r="G119" i="6" a="1"/>
  <c r="G119" i="6" s="1"/>
  <c r="G125" i="6" a="1"/>
  <c r="G125" i="6" s="1"/>
  <c r="L119" i="6"/>
  <c r="H141" i="6" s="1" a="1"/>
  <c r="H141" i="6" s="1"/>
  <c r="H154" i="6" s="1"/>
  <c r="F122" i="6" a="1"/>
  <c r="F122" i="6" s="1"/>
  <c r="F123" i="6" a="1"/>
  <c r="F123" i="6" s="1"/>
  <c r="F125" i="6" a="1"/>
  <c r="F125" i="6" s="1"/>
  <c r="F145" i="6" l="1" a="1"/>
  <c r="F145" i="6" s="1"/>
  <c r="F158" i="6" s="1"/>
  <c r="G145" i="6" a="1"/>
  <c r="G145" i="6" s="1"/>
  <c r="G158" i="6" s="1"/>
  <c r="I145" i="6" a="1"/>
  <c r="I145" i="6" s="1"/>
  <c r="I158" i="6" s="1"/>
  <c r="E145" i="6" a="1"/>
  <c r="E145" i="6" s="1"/>
  <c r="E158" i="6" s="1"/>
  <c r="M145" i="6" a="1"/>
  <c r="M145" i="6" s="1"/>
  <c r="M158" i="6" s="1"/>
  <c r="H145" i="6" a="1"/>
  <c r="H145" i="6" s="1"/>
  <c r="H158" i="6" s="1"/>
  <c r="L145" i="6" a="1"/>
  <c r="L145" i="6" s="1"/>
  <c r="L158" i="6" s="1"/>
  <c r="K145" i="6" a="1"/>
  <c r="K145" i="6" s="1"/>
  <c r="K158" i="6" s="1"/>
  <c r="F124" i="6" a="1"/>
  <c r="F124" i="6" s="1"/>
  <c r="F121" i="6" a="1"/>
  <c r="F121" i="6" s="1"/>
  <c r="L141" i="6" a="1"/>
  <c r="L141" i="6" s="1"/>
  <c r="L154" i="6" s="1"/>
  <c r="K141" i="6" a="1"/>
  <c r="K141" i="6" s="1"/>
  <c r="K154" i="6" s="1"/>
  <c r="G142" i="6" a="1"/>
  <c r="G142" i="6" s="1"/>
  <c r="G155" i="6" s="1"/>
  <c r="I142" i="6" a="1"/>
  <c r="I142" i="6" s="1"/>
  <c r="I155" i="6" s="1"/>
  <c r="E142" i="6" a="1"/>
  <c r="E142" i="6" s="1"/>
  <c r="E155" i="6" s="1"/>
  <c r="K142" i="6" a="1"/>
  <c r="K142" i="6" s="1"/>
  <c r="K155" i="6" s="1"/>
  <c r="J142" i="6" a="1"/>
  <c r="J142" i="6" s="1"/>
  <c r="J155" i="6" s="1"/>
  <c r="L142" i="6" a="1"/>
  <c r="L142" i="6" s="1"/>
  <c r="L155" i="6" s="1"/>
  <c r="M142" i="6" a="1"/>
  <c r="M142" i="6" s="1"/>
  <c r="M155" i="6" s="1"/>
  <c r="H142" i="6" a="1"/>
  <c r="H142" i="6" s="1"/>
  <c r="H155" i="6" s="1"/>
  <c r="F142" i="6" a="1"/>
  <c r="F142" i="6" s="1"/>
  <c r="F155" i="6" s="1"/>
  <c r="J141" i="6" a="1"/>
  <c r="J141" i="6" s="1"/>
  <c r="J154" i="6" s="1"/>
  <c r="F118" i="6" a="1"/>
  <c r="F118" i="6" s="1"/>
  <c r="M141" i="6" a="1"/>
  <c r="M141" i="6" s="1"/>
  <c r="M154" i="6" s="1"/>
  <c r="G141" i="6" a="1"/>
  <c r="G141" i="6" s="1"/>
  <c r="G154" i="6" s="1"/>
  <c r="G118" i="6" a="1"/>
  <c r="G118" i="6" s="1"/>
  <c r="L118" i="6"/>
  <c r="G121" i="6" a="1"/>
  <c r="G121" i="6" s="1"/>
  <c r="G124" i="6" a="1"/>
  <c r="G124" i="6" s="1"/>
  <c r="E141" i="6" a="1"/>
  <c r="E141" i="6" s="1"/>
  <c r="E154" i="6" s="1"/>
  <c r="I141" i="6" a="1"/>
  <c r="I141" i="6" s="1"/>
  <c r="I154" i="6" s="1"/>
  <c r="H144" i="6" a="1"/>
  <c r="H144" i="6" s="1"/>
  <c r="H157" i="6" s="1"/>
  <c r="K144" i="6" a="1"/>
  <c r="K144" i="6" s="1"/>
  <c r="K157" i="6" s="1"/>
  <c r="F144" i="6" a="1"/>
  <c r="F144" i="6" s="1"/>
  <c r="F157" i="6" s="1"/>
  <c r="E144" i="6" a="1"/>
  <c r="E144" i="6" s="1"/>
  <c r="E157" i="6" s="1"/>
  <c r="L144" i="6" a="1"/>
  <c r="L144" i="6" s="1"/>
  <c r="L157" i="6" s="1"/>
  <c r="I144" i="6" a="1"/>
  <c r="I144" i="6" s="1"/>
  <c r="I157" i="6" s="1"/>
  <c r="J144" i="6" a="1"/>
  <c r="J144" i="6" s="1"/>
  <c r="J157" i="6" s="1"/>
  <c r="M144" i="6" a="1"/>
  <c r="M144" i="6" s="1"/>
  <c r="M157" i="6" s="1"/>
  <c r="G144" i="6" a="1"/>
  <c r="G144" i="6" s="1"/>
  <c r="G157" i="6" s="1"/>
  <c r="G138" i="6" a="1"/>
  <c r="G138" i="6" s="1"/>
  <c r="G151" i="6" s="1"/>
  <c r="M138" i="6" a="1"/>
  <c r="M138" i="6" s="1"/>
  <c r="M151" i="6" s="1"/>
  <c r="H138" i="6" a="1"/>
  <c r="H138" i="6" s="1"/>
  <c r="H151" i="6" s="1"/>
  <c r="E138" i="6" a="1"/>
  <c r="E138" i="6" s="1"/>
  <c r="E151" i="6" s="1"/>
  <c r="J138" i="6" a="1"/>
  <c r="J138" i="6" s="1"/>
  <c r="J151" i="6" s="1"/>
  <c r="L138" i="6" a="1"/>
  <c r="L138" i="6" s="1"/>
  <c r="L151" i="6" s="1"/>
  <c r="F138" i="6" a="1"/>
  <c r="F138" i="6" s="1"/>
  <c r="F151" i="6" s="1"/>
  <c r="K138" i="6" a="1"/>
  <c r="K138" i="6" s="1"/>
  <c r="K151" i="6" s="1"/>
  <c r="I138" i="6" a="1"/>
  <c r="I138" i="6" s="1"/>
  <c r="I151" i="6" s="1"/>
  <c r="F139" i="6" a="1"/>
  <c r="F139" i="6" s="1"/>
  <c r="F152" i="6" s="1"/>
  <c r="G139" i="6" a="1"/>
  <c r="G139" i="6" s="1"/>
  <c r="G152" i="6" s="1"/>
  <c r="H139" i="6" a="1"/>
  <c r="H139" i="6" s="1"/>
  <c r="H152" i="6" s="1"/>
  <c r="M139" i="6" a="1"/>
  <c r="M139" i="6" s="1"/>
  <c r="M152" i="6" s="1"/>
  <c r="L139" i="6" a="1"/>
  <c r="L139" i="6" s="1"/>
  <c r="L152" i="6" s="1"/>
  <c r="E139" i="6" a="1"/>
  <c r="E139" i="6" s="1"/>
  <c r="E152" i="6" s="1"/>
  <c r="K139" i="6" a="1"/>
  <c r="K139" i="6" s="1"/>
  <c r="K152" i="6" s="1"/>
  <c r="J139" i="6" a="1"/>
  <c r="J139" i="6" s="1"/>
  <c r="J152" i="6" s="1"/>
  <c r="I139" i="6" a="1"/>
  <c r="I139" i="6" s="1"/>
  <c r="I152" i="6" s="1"/>
  <c r="F141" i="6" a="1"/>
  <c r="F141" i="6" s="1"/>
  <c r="F154" i="6" s="1"/>
  <c r="H179" i="6" l="1"/>
  <c r="H183" i="6" s="1"/>
  <c r="F196" i="6"/>
  <c r="F137" i="6" a="1"/>
  <c r="F137" i="6" s="1"/>
  <c r="F150" i="6" s="1"/>
  <c r="L179" i="6"/>
  <c r="L183" i="6" s="1"/>
  <c r="G179" i="6"/>
  <c r="G183" i="6" s="1"/>
  <c r="J179" i="6"/>
  <c r="J183" i="6" s="1"/>
  <c r="H178" i="6"/>
  <c r="H182" i="6" s="1"/>
  <c r="M178" i="6"/>
  <c r="M182" i="6" s="1"/>
  <c r="K178" i="6"/>
  <c r="K182" i="6" s="1"/>
  <c r="F179" i="6"/>
  <c r="F183" i="6" s="1"/>
  <c r="I179" i="6"/>
  <c r="I183" i="6" s="1"/>
  <c r="L178" i="6"/>
  <c r="L182" i="6" s="1"/>
  <c r="G127" i="6"/>
  <c r="I137" i="6" a="1"/>
  <c r="I137" i="6" s="1"/>
  <c r="I150" i="6" s="1"/>
  <c r="K137" i="6" a="1"/>
  <c r="K137" i="6" s="1"/>
  <c r="K150" i="6" s="1"/>
  <c r="M137" i="6" a="1"/>
  <c r="M137" i="6" s="1"/>
  <c r="M150" i="6" s="1"/>
  <c r="E137" i="6" a="1"/>
  <c r="E137" i="6" s="1"/>
  <c r="E150" i="6" s="1"/>
  <c r="G137" i="6" a="1"/>
  <c r="G137" i="6" s="1"/>
  <c r="G150" i="6" s="1"/>
  <c r="J137" i="6" a="1"/>
  <c r="J137" i="6" s="1"/>
  <c r="J150" i="6" s="1"/>
  <c r="L137" i="6" a="1"/>
  <c r="L137" i="6" s="1"/>
  <c r="L150" i="6" s="1"/>
  <c r="H137" i="6" a="1"/>
  <c r="H137" i="6" s="1"/>
  <c r="H150" i="6" s="1"/>
  <c r="M179" i="6"/>
  <c r="M183" i="6" s="1"/>
  <c r="G178" i="6"/>
  <c r="G182" i="6" s="1"/>
  <c r="F193" i="6"/>
  <c r="I178" i="6"/>
  <c r="I182" i="6" s="1"/>
  <c r="F178" i="6"/>
  <c r="F182" i="6" s="1"/>
  <c r="F195" i="6"/>
  <c r="E179" i="6"/>
  <c r="E183" i="6" s="1"/>
  <c r="F190" i="6"/>
  <c r="F192" i="6"/>
  <c r="J143" i="6" a="1"/>
  <c r="J143" i="6" s="1"/>
  <c r="J156" i="6" s="1"/>
  <c r="I143" i="6" a="1"/>
  <c r="I143" i="6" s="1"/>
  <c r="I156" i="6" s="1"/>
  <c r="H143" i="6" a="1"/>
  <c r="H143" i="6" s="1"/>
  <c r="H156" i="6" s="1"/>
  <c r="K143" i="6" a="1"/>
  <c r="K143" i="6" s="1"/>
  <c r="K156" i="6" s="1"/>
  <c r="L143" i="6" a="1"/>
  <c r="L143" i="6" s="1"/>
  <c r="L156" i="6" s="1"/>
  <c r="M143" i="6" a="1"/>
  <c r="M143" i="6" s="1"/>
  <c r="M156" i="6" s="1"/>
  <c r="G143" i="6" a="1"/>
  <c r="G143" i="6" s="1"/>
  <c r="G156" i="6" s="1"/>
  <c r="F143" i="6" a="1"/>
  <c r="F143" i="6" s="1"/>
  <c r="F156" i="6" s="1"/>
  <c r="E143" i="6" a="1"/>
  <c r="E143" i="6" s="1"/>
  <c r="E156" i="6" s="1"/>
  <c r="L140" i="6" a="1"/>
  <c r="L140" i="6" s="1"/>
  <c r="L153" i="6" s="1"/>
  <c r="H140" i="6" a="1"/>
  <c r="H140" i="6" s="1"/>
  <c r="H153" i="6" s="1"/>
  <c r="K140" i="6" a="1"/>
  <c r="K140" i="6" s="1"/>
  <c r="K153" i="6" s="1"/>
  <c r="I140" i="6" a="1"/>
  <c r="I140" i="6" s="1"/>
  <c r="I153" i="6" s="1"/>
  <c r="F140" i="6" a="1"/>
  <c r="F140" i="6" s="1"/>
  <c r="F153" i="6" s="1"/>
  <c r="E140" i="6" a="1"/>
  <c r="E140" i="6" s="1"/>
  <c r="E153" i="6" s="1"/>
  <c r="G140" i="6" a="1"/>
  <c r="G140" i="6" s="1"/>
  <c r="G153" i="6" s="1"/>
  <c r="J140" i="6" a="1"/>
  <c r="J140" i="6" s="1"/>
  <c r="J153" i="6" s="1"/>
  <c r="M140" i="6" a="1"/>
  <c r="M140" i="6" s="1"/>
  <c r="M153" i="6" s="1"/>
  <c r="J178" i="6"/>
  <c r="J182" i="6" s="1"/>
  <c r="K179" i="6"/>
  <c r="K183" i="6" s="1"/>
  <c r="E178" i="6"/>
  <c r="E182" i="6" s="1"/>
  <c r="F189" i="6"/>
  <c r="M177" i="6" l="1"/>
  <c r="M181" i="6" s="1"/>
  <c r="M184" i="6" s="1"/>
  <c r="G177" i="6"/>
  <c r="G181" i="6" s="1"/>
  <c r="G184" i="6" s="1"/>
  <c r="G203" i="6" s="1"/>
  <c r="K177" i="6"/>
  <c r="K181" i="6" s="1"/>
  <c r="K184" i="6" s="1"/>
  <c r="K200" i="6" s="1"/>
  <c r="I177" i="6"/>
  <c r="I181" i="6" s="1"/>
  <c r="I184" i="6" s="1"/>
  <c r="I200" i="6" s="1"/>
  <c r="F194" i="6"/>
  <c r="F177" i="6"/>
  <c r="F181" i="6" s="1"/>
  <c r="F184" i="6" s="1"/>
  <c r="F203" i="6" s="1"/>
  <c r="H177" i="6"/>
  <c r="H181" i="6" s="1"/>
  <c r="H184" i="6" s="1"/>
  <c r="H200" i="6" s="1"/>
  <c r="F191" i="6"/>
  <c r="L177" i="6"/>
  <c r="L181" i="6" s="1"/>
  <c r="L184" i="6" s="1"/>
  <c r="N159" i="6"/>
  <c r="F188" i="6"/>
  <c r="E177" i="6"/>
  <c r="E181" i="6" s="1"/>
  <c r="E184" i="6" s="1"/>
  <c r="J177" i="6"/>
  <c r="J181" i="6" s="1"/>
  <c r="J184" i="6" s="1"/>
  <c r="J200" i="6" s="1"/>
  <c r="M200" i="6" l="1"/>
  <c r="M208" i="6"/>
  <c r="M202" i="6"/>
  <c r="M203" i="6"/>
  <c r="M206" i="6"/>
  <c r="M201" i="6"/>
  <c r="M205" i="6"/>
  <c r="M204" i="6"/>
  <c r="M207" i="6"/>
  <c r="K203" i="6"/>
  <c r="G206" i="6"/>
  <c r="E206" i="6"/>
  <c r="N184" i="6"/>
  <c r="E200" i="6"/>
  <c r="I203" i="6"/>
  <c r="I202" i="6"/>
  <c r="I205" i="6"/>
  <c r="I207" i="6"/>
  <c r="I208" i="6"/>
  <c r="I201" i="6"/>
  <c r="I204" i="6"/>
  <c r="K206" i="6"/>
  <c r="K207" i="6"/>
  <c r="K201" i="6"/>
  <c r="K204" i="6"/>
  <c r="K208" i="6"/>
  <c r="K205" i="6"/>
  <c r="K202" i="6"/>
  <c r="J206" i="6"/>
  <c r="G200" i="6"/>
  <c r="G204" i="6"/>
  <c r="G208" i="6"/>
  <c r="G202" i="6"/>
  <c r="G205" i="6"/>
  <c r="G207" i="6"/>
  <c r="G201" i="6"/>
  <c r="F206" i="6"/>
  <c r="F205" i="6"/>
  <c r="F208" i="6"/>
  <c r="F201" i="6"/>
  <c r="F207" i="6"/>
  <c r="F204" i="6"/>
  <c r="F202" i="6"/>
  <c r="F200" i="6"/>
  <c r="L206" i="6"/>
  <c r="L204" i="6"/>
  <c r="L207" i="6"/>
  <c r="L208" i="6"/>
  <c r="L201" i="6"/>
  <c r="L202" i="6"/>
  <c r="L205" i="6"/>
  <c r="H207" i="6"/>
  <c r="H204" i="6"/>
  <c r="H208" i="6"/>
  <c r="H205" i="6"/>
  <c r="H202" i="6"/>
  <c r="H201" i="6"/>
  <c r="L200" i="6"/>
  <c r="H206" i="6"/>
  <c r="I206" i="6"/>
  <c r="H203" i="6"/>
  <c r="E207" i="6"/>
  <c r="B188" i="6" a="1"/>
  <c r="E205" i="6"/>
  <c r="E208" i="6"/>
  <c r="E201" i="6"/>
  <c r="E204" i="6"/>
  <c r="E202" i="6"/>
  <c r="J203" i="6"/>
  <c r="J204" i="6"/>
  <c r="J201" i="6"/>
  <c r="J208" i="6"/>
  <c r="J202" i="6"/>
  <c r="J207" i="6"/>
  <c r="J205" i="6"/>
  <c r="E203" i="6"/>
  <c r="L203" i="6"/>
  <c r="G192" i="6" l="1"/>
  <c r="G196" i="6"/>
  <c r="G189" i="6"/>
  <c r="G194" i="6"/>
  <c r="B188" i="6"/>
  <c r="G188" i="6" s="1"/>
  <c r="G191" i="6"/>
  <c r="G193" i="6"/>
  <c r="G195" i="6"/>
  <c r="G190" i="6"/>
  <c r="E213" i="6" a="1"/>
  <c r="E213" i="6" s="1"/>
  <c r="D190" i="6" l="1"/>
  <c r="E190" i="6" s="1"/>
  <c r="H190" i="6"/>
  <c r="I190" i="6" s="1"/>
  <c r="D188" i="6"/>
  <c r="E188" i="6" s="1"/>
  <c r="H188" i="6"/>
  <c r="I188" i="6" s="1"/>
  <c r="H195" i="6"/>
  <c r="I195" i="6" s="1"/>
  <c r="D195" i="6"/>
  <c r="E195" i="6" s="1"/>
  <c r="D191" i="6"/>
  <c r="E191" i="6" s="1"/>
  <c r="H191" i="6"/>
  <c r="I191" i="6" s="1"/>
  <c r="D189" i="6"/>
  <c r="E189" i="6" s="1"/>
  <c r="H189" i="6"/>
  <c r="I189" i="6" s="1"/>
  <c r="H196" i="6"/>
  <c r="I196" i="6" s="1"/>
  <c r="D196" i="6"/>
  <c r="E196" i="6" s="1"/>
  <c r="H193" i="6"/>
  <c r="I193" i="6" s="1"/>
  <c r="D193" i="6"/>
  <c r="E193" i="6" s="1"/>
  <c r="D194" i="6"/>
  <c r="E194" i="6" s="1"/>
  <c r="H194" i="6"/>
  <c r="I194" i="6" s="1"/>
  <c r="D192" i="6"/>
  <c r="E192" i="6" s="1"/>
  <c r="H192" i="6"/>
  <c r="I19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<sst xmlns="http://schemas.openxmlformats.org/spreadsheetml/2006/main" count="4032" uniqueCount="69">
  <si>
    <t>Z</t>
  </si>
  <si>
    <t>A</t>
  </si>
  <si>
    <t>L</t>
  </si>
  <si>
    <t>r</t>
  </si>
  <si>
    <t>s</t>
  </si>
  <si>
    <t>inv</t>
  </si>
  <si>
    <t>exD</t>
  </si>
  <si>
    <t>FD</t>
  </si>
  <si>
    <t>X</t>
  </si>
  <si>
    <t>VA</t>
  </si>
  <si>
    <t>B</t>
  </si>
  <si>
    <t>C</t>
  </si>
  <si>
    <t>d_shock</t>
  </si>
  <si>
    <t>1-d_shock</t>
  </si>
  <si>
    <t>fd_max</t>
  </si>
  <si>
    <t>Demand shock</t>
  </si>
  <si>
    <t>Supply shock</t>
  </si>
  <si>
    <t>p_shock</t>
  </si>
  <si>
    <t>1-p_shock</t>
  </si>
  <si>
    <t>x_max</t>
  </si>
  <si>
    <t>x_md</t>
  </si>
  <si>
    <t>Z_cons</t>
  </si>
  <si>
    <t>constraint</t>
  </si>
  <si>
    <t>Z_need</t>
  </si>
  <si>
    <t>sub</t>
  </si>
  <si>
    <t>bottlneck</t>
  </si>
  <si>
    <t>supply</t>
  </si>
  <si>
    <t>Z_new</t>
  </si>
  <si>
    <t>inv_sec</t>
  </si>
  <si>
    <t>AX</t>
  </si>
  <si>
    <t>Step 1-2</t>
  </si>
  <si>
    <t>Step 3</t>
  </si>
  <si>
    <t>Step 4</t>
  </si>
  <si>
    <t>Step 5</t>
  </si>
  <si>
    <t>exDsec</t>
  </si>
  <si>
    <t>Step 6-7</t>
  </si>
  <si>
    <t>inv/exD</t>
  </si>
  <si>
    <t>Step 8</t>
  </si>
  <si>
    <t>Reallocation</t>
  </si>
  <si>
    <t>lambda</t>
  </si>
  <si>
    <t>invi/inv_sec</t>
  </si>
  <si>
    <t>Step 9</t>
  </si>
  <si>
    <t>ZG</t>
  </si>
  <si>
    <t>AG</t>
  </si>
  <si>
    <t>ZGnew</t>
  </si>
  <si>
    <t>L_new</t>
  </si>
  <si>
    <t>A_new</t>
  </si>
  <si>
    <t>xnew</t>
  </si>
  <si>
    <t>Fdnew</t>
  </si>
  <si>
    <t>xnew_target</t>
  </si>
  <si>
    <t>convergence</t>
  </si>
  <si>
    <t>Agr</t>
  </si>
  <si>
    <t>Ind</t>
  </si>
  <si>
    <t>Serv</t>
  </si>
  <si>
    <t>Only demand and supply constraints apply, no bottlenecks</t>
  </si>
  <si>
    <t>frac</t>
  </si>
  <si>
    <t>inv_i</t>
  </si>
  <si>
    <t>total_inv_i</t>
  </si>
  <si>
    <t>inv_share</t>
  </si>
  <si>
    <t>CODE ALGORITHM</t>
  </si>
  <si>
    <t>x_tilde</t>
  </si>
  <si>
    <t>FD_post</t>
  </si>
  <si>
    <t>diff_d</t>
  </si>
  <si>
    <t>diff_x</t>
  </si>
  <si>
    <t>Total Z reduction</t>
  </si>
  <si>
    <t>negative multiplier</t>
  </si>
  <si>
    <t>Fd implied</t>
  </si>
  <si>
    <t>FD_implied</t>
  </si>
  <si>
    <t>X_s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</si>
</sst>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_-;\-* #,##0.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43" fontId="0" fillId="0" borderId="2" xfId="1" applyFont="1" applyBorder="1"/>
    <xf numFmtId="43" fontId="0" fillId="0" borderId="3" xfId="1" applyFont="1" applyBorder="1"/>
    <xf numFmtId="43" fontId="0" fillId="0" borderId="4" xfId="1" applyFont="1" applyBorder="1"/>
    <xf numFmtId="43" fontId="0" fillId="0" borderId="13" xfId="1" applyFont="1" applyBorder="1"/>
    <xf numFmtId="43" fontId="0" fillId="0" borderId="5" xfId="1" applyFont="1" applyBorder="1"/>
    <xf numFmtId="43" fontId="0" fillId="0" borderId="1" xfId="1" applyFont="1" applyBorder="1"/>
    <xf numFmtId="43" fontId="0" fillId="0" borderId="6" xfId="1" applyFont="1" applyBorder="1"/>
    <xf numFmtId="43" fontId="0" fillId="0" borderId="14" xfId="1" applyFont="1" applyBorder="1"/>
    <xf numFmtId="43" fontId="0" fillId="0" borderId="7" xfId="1" applyFont="1" applyBorder="1"/>
    <xf numFmtId="43" fontId="0" fillId="0" borderId="8" xfId="1" applyFont="1" applyBorder="1"/>
    <xf numFmtId="43" fontId="0" fillId="0" borderId="9" xfId="1" applyFont="1" applyBorder="1"/>
    <xf numFmtId="43" fontId="0" fillId="0" borderId="15" xfId="1" applyFont="1" applyBorder="1"/>
    <xf numFmtId="43" fontId="0" fillId="0" borderId="10" xfId="1" applyFont="1" applyBorder="1"/>
    <xf numFmtId="43" fontId="0" fillId="0" borderId="11" xfId="1" applyFont="1" applyBorder="1"/>
    <xf numFmtId="43" fontId="0" fillId="0" borderId="12" xfId="1" applyFont="1" applyBorder="1"/>
    <xf numFmtId="43" fontId="0" fillId="0" borderId="0" xfId="1" applyFont="1"/>
    <xf numFmtId="164" fontId="0" fillId="0" borderId="0" xfId="1" applyNumberFormat="1" applyFont="1"/>
    <xf numFmtId="165" fontId="0" fillId="0" borderId="0" xfId="0" applyNumberFormat="1"/>
    <xf numFmtId="43" fontId="0" fillId="0" borderId="0" xfId="0" applyNumberFormat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43" fontId="0" fillId="0" borderId="30" xfId="1" applyFont="1" applyBorder="1"/>
    <xf numFmtId="0" fontId="0" fillId="0" borderId="2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3" fontId="0" fillId="0" borderId="34" xfId="1" applyFont="1" applyBorder="1"/>
    <xf numFmtId="43" fontId="0" fillId="0" borderId="32" xfId="1" applyFont="1" applyBorder="1"/>
    <xf numFmtId="43" fontId="0" fillId="0" borderId="33" xfId="1" applyFont="1" applyBorder="1"/>
    <xf numFmtId="9" fontId="0" fillId="0" borderId="2" xfId="0" applyNumberFormat="1" applyBorder="1"/>
    <xf numFmtId="9" fontId="0" fillId="0" borderId="5" xfId="0" applyNumberFormat="1" applyBorder="1"/>
    <xf numFmtId="9" fontId="0" fillId="0" borderId="7" xfId="0" applyNumberFormat="1" applyBorder="1"/>
    <xf numFmtId="9" fontId="0" fillId="0" borderId="26" xfId="0" applyNumberFormat="1" applyBorder="1"/>
    <xf numFmtId="9" fontId="0" fillId="0" borderId="27" xfId="0" applyNumberFormat="1" applyBorder="1"/>
    <xf numFmtId="9" fontId="0" fillId="0" borderId="28" xfId="0" applyNumberFormat="1" applyBorder="1"/>
    <xf numFmtId="0" fontId="0" fillId="0" borderId="37" xfId="0" applyBorder="1" applyAlignment="1">
      <alignment horizontal="centerContinuous"/>
    </xf>
    <xf numFmtId="0" fontId="0" fillId="0" borderId="38" xfId="0" applyBorder="1" applyAlignment="1">
      <alignment horizontal="centerContinuous"/>
    </xf>
    <xf numFmtId="43" fontId="0" fillId="0" borderId="13" xfId="1" applyFont="1" applyBorder="1" applyAlignment="1">
      <alignment horizontal="center"/>
    </xf>
    <xf numFmtId="43" fontId="0" fillId="0" borderId="14" xfId="1" applyFont="1" applyBorder="1" applyAlignment="1">
      <alignment horizontal="center"/>
    </xf>
    <xf numFmtId="43" fontId="0" fillId="0" borderId="15" xfId="1" applyFont="1" applyBorder="1" applyAlignment="1">
      <alignment horizontal="center"/>
    </xf>
    <xf numFmtId="43" fontId="0" fillId="0" borderId="10" xfId="1" applyFont="1" applyBorder="1" applyAlignment="1">
      <alignment horizontal="center"/>
    </xf>
    <xf numFmtId="43" fontId="0" fillId="0" borderId="11" xfId="1" applyFont="1" applyBorder="1" applyAlignment="1">
      <alignment horizontal="center"/>
    </xf>
    <xf numFmtId="43" fontId="0" fillId="0" borderId="12" xfId="1" applyFont="1" applyBorder="1" applyAlignment="1">
      <alignment horizontal="center"/>
    </xf>
    <xf numFmtId="43" fontId="0" fillId="0" borderId="29" xfId="1" applyFont="1" applyBorder="1" applyAlignment="1">
      <alignment horizontal="center"/>
    </xf>
    <xf numFmtId="43" fontId="0" fillId="0" borderId="22" xfId="1" applyFont="1" applyBorder="1" applyAlignment="1">
      <alignment horizontal="center"/>
    </xf>
    <xf numFmtId="43" fontId="0" fillId="0" borderId="23" xfId="1" applyFont="1" applyBorder="1" applyAlignment="1">
      <alignment horizontal="center"/>
    </xf>
    <xf numFmtId="0" fontId="0" fillId="0" borderId="21" xfId="0" applyBorder="1" applyAlignment="1">
      <alignment horizontal="center"/>
    </xf>
    <xf numFmtId="43" fontId="0" fillId="0" borderId="39" xfId="1" applyFont="1" applyBorder="1" applyAlignment="1">
      <alignment horizontal="center"/>
    </xf>
    <xf numFmtId="43" fontId="0" fillId="0" borderId="24" xfId="1" applyFont="1" applyBorder="1" applyAlignment="1">
      <alignment horizontal="center"/>
    </xf>
    <xf numFmtId="43" fontId="0" fillId="0" borderId="25" xfId="1" applyFont="1" applyBorder="1" applyAlignment="1">
      <alignment horizontal="center"/>
    </xf>
    <xf numFmtId="43" fontId="0" fillId="0" borderId="13" xfId="0" applyNumberFormat="1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2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41" xfId="1" applyFont="1" applyBorder="1"/>
    <xf numFmtId="0" fontId="0" fillId="0" borderId="40" xfId="0" applyBorder="1"/>
    <xf numFmtId="0" fontId="0" fillId="0" borderId="32" xfId="0" applyBorder="1"/>
    <xf numFmtId="0" fontId="0" fillId="0" borderId="42" xfId="0" applyBorder="1"/>
    <xf numFmtId="0" fontId="0" fillId="0" borderId="34" xfId="0" applyBorder="1"/>
    <xf numFmtId="0" fontId="0" fillId="0" borderId="16" xfId="0" applyBorder="1"/>
    <xf numFmtId="43" fontId="0" fillId="0" borderId="16" xfId="0" applyNumberFormat="1" applyBorder="1" applyAlignment="1">
      <alignment horizontal="center"/>
    </xf>
    <xf numFmtId="43" fontId="0" fillId="0" borderId="29" xfId="0" applyNumberFormat="1" applyBorder="1"/>
    <xf numFmtId="43" fontId="0" fillId="0" borderId="22" xfId="0" applyNumberFormat="1" applyBorder="1"/>
    <xf numFmtId="43" fontId="0" fillId="0" borderId="23" xfId="0" applyNumberFormat="1" applyBorder="1"/>
    <xf numFmtId="43" fontId="0" fillId="0" borderId="43" xfId="1" applyFont="1" applyBorder="1"/>
    <xf numFmtId="43" fontId="0" fillId="0" borderId="44" xfId="1" applyFont="1" applyBorder="1"/>
    <xf numFmtId="43" fontId="0" fillId="0" borderId="45" xfId="1" applyFont="1" applyBorder="1"/>
    <xf numFmtId="43" fontId="0" fillId="0" borderId="2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2" borderId="2" xfId="1" applyFont="1" applyFill="1" applyBorder="1"/>
    <xf numFmtId="43" fontId="0" fillId="2" borderId="3" xfId="1" applyFont="1" applyFill="1" applyBorder="1"/>
    <xf numFmtId="43" fontId="0" fillId="2" borderId="4" xfId="1" applyFont="1" applyFill="1" applyBorder="1"/>
    <xf numFmtId="43" fontId="0" fillId="2" borderId="5" xfId="1" applyFont="1" applyFill="1" applyBorder="1"/>
    <xf numFmtId="43" fontId="0" fillId="2" borderId="1" xfId="1" applyFont="1" applyFill="1" applyBorder="1"/>
    <xf numFmtId="43" fontId="0" fillId="2" borderId="6" xfId="1" applyFont="1" applyFill="1" applyBorder="1"/>
    <xf numFmtId="43" fontId="0" fillId="2" borderId="7" xfId="1" applyFont="1" applyFill="1" applyBorder="1"/>
    <xf numFmtId="43" fontId="0" fillId="2" borderId="8" xfId="1" applyFont="1" applyFill="1" applyBorder="1"/>
    <xf numFmtId="43" fontId="0" fillId="2" borderId="9" xfId="1" applyFont="1" applyFill="1" applyBorder="1"/>
    <xf numFmtId="43" fontId="0" fillId="2" borderId="13" xfId="1" applyFont="1" applyFill="1" applyBorder="1"/>
    <xf numFmtId="43" fontId="0" fillId="2" borderId="14" xfId="1" applyFont="1" applyFill="1" applyBorder="1"/>
    <xf numFmtId="43" fontId="0" fillId="2" borderId="15" xfId="1" applyFont="1" applyFill="1" applyBorder="1"/>
    <xf numFmtId="166" fontId="0" fillId="0" borderId="13" xfId="1" applyNumberFormat="1" applyFont="1" applyBorder="1" applyAlignment="1">
      <alignment horizontal="center"/>
    </xf>
    <xf numFmtId="166" fontId="0" fillId="0" borderId="14" xfId="1" applyNumberFormat="1" applyFont="1" applyBorder="1" applyAlignment="1">
      <alignment horizontal="center"/>
    </xf>
    <xf numFmtId="166" fontId="0" fillId="0" borderId="15" xfId="1" applyNumberFormat="1" applyFont="1" applyBorder="1" applyAlignment="1">
      <alignment horizontal="center"/>
    </xf>
    <xf numFmtId="43" fontId="0" fillId="3" borderId="0" xfId="1" applyFont="1" applyFill="1"/>
    <xf numFmtId="0" fontId="0" fillId="0" borderId="0" xfId="0" applyAlignment="1">
      <alignment wrapText="1"/>
    </xf>
    <xf numFmtId="9" fontId="0" fillId="0" borderId="0" xfId="2" applyFont="1"/>
    <xf numFmtId="0" fontId="0" fillId="0" borderId="0" xfId="0" applyAlignment="1">
      <alignment horizontal="right"/>
    </xf>
    <xf numFmtId="165" fontId="0" fillId="0" borderId="16" xfId="0" applyNumberFormat="1" applyBorder="1"/>
    <xf numFmtId="43" fontId="0" fillId="0" borderId="16" xfId="1" applyFont="1" applyBorder="1"/>
    <xf numFmtId="165" fontId="0" fillId="0" borderId="19" xfId="0" applyNumberFormat="1" applyBorder="1"/>
    <xf numFmtId="165" fontId="0" fillId="0" borderId="46" xfId="0" applyNumberFormat="1" applyBorder="1"/>
    <xf numFmtId="165" fontId="0" fillId="0" borderId="47" xfId="0" applyNumberFormat="1" applyBorder="1"/>
    <xf numFmtId="165" fontId="0" fillId="0" borderId="48" xfId="0" applyNumberFormat="1" applyBorder="1"/>
    <xf numFmtId="43" fontId="0" fillId="0" borderId="31" xfId="1" applyFont="1" applyBorder="1"/>
    <xf numFmtId="43" fontId="0" fillId="0" borderId="19" xfId="1" applyFont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43" fontId="0" fillId="0" borderId="0" xfId="1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165" fontId="0" fillId="0" borderId="6" xfId="0" applyNumberFormat="1" applyBorder="1"/>
    <xf numFmtId="165" fontId="0" fillId="0" borderId="9" xfId="0" applyNumberFormat="1" applyBorder="1"/>
    <xf numFmtId="43" fontId="0" fillId="0" borderId="41" xfId="1" applyFont="1" applyBorder="1" applyAlignment="1">
      <alignment horizontal="center" vertical="center"/>
    </xf>
    <xf numFmtId="43" fontId="0" fillId="0" borderId="32" xfId="1" applyFont="1" applyBorder="1" applyAlignment="1">
      <alignment horizontal="center" vertical="center"/>
    </xf>
    <xf numFmtId="43" fontId="0" fillId="4" borderId="2" xfId="1" applyFont="1" applyFill="1" applyBorder="1"/>
    <xf numFmtId="43" fontId="0" fillId="4" borderId="3" xfId="1" applyFont="1" applyFill="1" applyBorder="1"/>
    <xf numFmtId="43" fontId="0" fillId="4" borderId="4" xfId="1" applyFont="1" applyFill="1" applyBorder="1"/>
    <xf numFmtId="43" fontId="0" fillId="4" borderId="5" xfId="1" applyFont="1" applyFill="1" applyBorder="1"/>
    <xf numFmtId="43" fontId="0" fillId="4" borderId="1" xfId="1" applyFont="1" applyFill="1" applyBorder="1"/>
    <xf numFmtId="43" fontId="0" fillId="4" borderId="6" xfId="1" applyFont="1" applyFill="1" applyBorder="1"/>
    <xf numFmtId="43" fontId="0" fillId="4" borderId="7" xfId="1" applyFont="1" applyFill="1" applyBorder="1"/>
    <xf numFmtId="43" fontId="0" fillId="4" borderId="8" xfId="1" applyFont="1" applyFill="1" applyBorder="1"/>
    <xf numFmtId="43" fontId="0" fillId="4" borderId="9" xfId="1" applyFont="1" applyFill="1" applyBorder="1"/>
    <xf numFmtId="43" fontId="0" fillId="2" borderId="10" xfId="1" applyFont="1" applyFill="1" applyBorder="1"/>
    <xf numFmtId="43" fontId="0" fillId="2" borderId="11" xfId="1" applyFont="1" applyFill="1" applyBorder="1"/>
    <xf numFmtId="43" fontId="0" fillId="2" borderId="12" xfId="1" applyFont="1" applyFill="1" applyBorder="1"/>
    <xf numFmtId="43" fontId="0" fillId="0" borderId="13" xfId="1" applyFont="1" applyFill="1" applyBorder="1"/>
    <xf numFmtId="43" fontId="0" fillId="0" borderId="14" xfId="1" applyFont="1" applyFill="1" applyBorder="1"/>
    <xf numFmtId="43" fontId="0" fillId="0" borderId="15" xfId="1" applyFont="1" applyFill="1" applyBorder="1"/>
    <xf numFmtId="43" fontId="1" fillId="0" borderId="1" xfId="1" applyFont="1" applyBorder="1" applyAlignment="1">
      <alignment horizontal="center" vertical="center"/>
    </xf>
    <xf numFmtId="43" fontId="0" fillId="2" borderId="34" xfId="1" applyFont="1" applyFill="1" applyBorder="1"/>
    <xf numFmtId="43" fontId="0" fillId="2" borderId="32" xfId="1" applyFont="1" applyFill="1" applyBorder="1"/>
    <xf numFmtId="43" fontId="0" fillId="2" borderId="33" xfId="1" applyFont="1" applyFill="1" applyBorder="1"/>
    <xf numFmtId="9" fontId="0" fillId="2" borderId="2" xfId="0" applyNumberFormat="1" applyFill="1" applyBorder="1"/>
    <xf numFmtId="9" fontId="0" fillId="2" borderId="5" xfId="0" applyNumberFormat="1" applyFill="1" applyBorder="1"/>
    <xf numFmtId="9" fontId="0" fillId="2" borderId="7" xfId="0" applyNumberFormat="1" applyFill="1" applyBorder="1"/>
    <xf numFmtId="10" fontId="0" fillId="0" borderId="0" xfId="2" applyNumberFormat="1" applyFont="1"/>
  </cellXfs>
  <cellStyles count="3">
    <cellStyle name="Migliaia" xfId="1" builtinId="3"/>
    <cellStyle name="Normale" xfId="0" builtinId="0"/>
    <cellStyle name="Percentuale" xfId="2" builtinId="5"/>
  </cellStyles>
  <dxfs count="3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penEconomics 2025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63D57"/>
      </a:accent1>
      <a:accent2>
        <a:srgbClr val="009EA5"/>
      </a:accent2>
      <a:accent3>
        <a:srgbClr val="A9AF00"/>
      </a:accent3>
      <a:accent4>
        <a:srgbClr val="B90057"/>
      </a:accent4>
      <a:accent5>
        <a:srgbClr val="EBB95A"/>
      </a:accent5>
      <a:accent6>
        <a:srgbClr val="2C3D68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216C-103C-44FA-BAF4-B21DDBB48273}">
  <dimension ref="A3:AJ243"/>
  <sheetViews>
    <sheetView showGridLines="0" tabSelected="1" topLeftCell="A172" zoomScaleNormal="100" workbookViewId="0">
      <selection activeCell="D188" sqref="D188"/>
    </sheetView>
  </sheetViews>
  <sheetFormatPr defaultRowHeight="14.4" x14ac:dyDescent="0.3"/>
  <cols>
    <col min="1" max="1" width="12.6640625" style="65" customWidth="1"/>
    <col min="2" max="14" width="12.6640625" customWidth="1"/>
    <col min="15" max="15" width="16.6640625" bestFit="1" customWidth="1"/>
    <col min="16" max="23" width="12.6640625" customWidth="1"/>
    <col min="29" max="29" width="16.33203125" bestFit="1" customWidth="1"/>
  </cols>
  <sheetData>
    <row r="3" spans="3:18" ht="15" thickBot="1" x14ac:dyDescent="0.35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" thickBot="1" x14ac:dyDescent="0.35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3">
      <c r="C5" s="20" t="s">
        <v>1</v>
      </c>
      <c r="D5" s="28" t="s">
        <v>51</v>
      </c>
      <c r="E5" s="1">
        <v>10</v>
      </c>
      <c r="F5" s="2">
        <v>5</v>
      </c>
      <c r="G5" s="2">
        <v>10</v>
      </c>
      <c r="H5" s="2">
        <v>1</v>
      </c>
      <c r="I5" s="2">
        <v>0</v>
      </c>
      <c r="J5" s="2">
        <v>8</v>
      </c>
      <c r="K5" s="2">
        <v>3</v>
      </c>
      <c r="L5" s="2">
        <v>7</v>
      </c>
      <c r="M5" s="3">
        <v>2</v>
      </c>
      <c r="N5" s="24">
        <v>25</v>
      </c>
      <c r="O5" s="29">
        <f>+SUM(E5:N5)</f>
        <v>71</v>
      </c>
      <c r="P5" s="62" cm="1">
        <f t="array" ref="P5:P13">+MMULT(E21:M29,O5:O13)</f>
        <v>46</v>
      </c>
      <c r="Q5" s="61">
        <f>+P5+N5</f>
        <v>71</v>
      </c>
      <c r="R5" s="61" t="b">
        <f>+Q5=O5</f>
        <v>1</v>
      </c>
    </row>
    <row r="6" spans="3:18" x14ac:dyDescent="0.3">
      <c r="C6" s="20" t="s">
        <v>1</v>
      </c>
      <c r="D6" s="25" t="s">
        <v>52</v>
      </c>
      <c r="E6" s="5">
        <v>8</v>
      </c>
      <c r="F6" s="6">
        <v>3</v>
      </c>
      <c r="G6" s="6">
        <v>9</v>
      </c>
      <c r="H6" s="6">
        <v>4</v>
      </c>
      <c r="I6" s="6">
        <v>2</v>
      </c>
      <c r="J6" s="6">
        <v>10</v>
      </c>
      <c r="K6" s="6">
        <v>1</v>
      </c>
      <c r="L6" s="6">
        <v>4</v>
      </c>
      <c r="M6" s="7">
        <v>7</v>
      </c>
      <c r="N6" s="8">
        <v>7</v>
      </c>
      <c r="O6" s="30">
        <f t="shared" ref="O6:O13" si="0">+SUM(E6:N6)</f>
        <v>55</v>
      </c>
      <c r="P6" s="62">
        <v>48</v>
      </c>
      <c r="Q6" s="61">
        <f t="shared" ref="Q6:Q13" si="1">+P6+N6</f>
        <v>55</v>
      </c>
      <c r="R6" s="61" t="b">
        <f t="shared" ref="R6:R13" si="2">+Q6=O6</f>
        <v>1</v>
      </c>
    </row>
    <row r="7" spans="3:18" x14ac:dyDescent="0.3">
      <c r="C7" s="20" t="s">
        <v>1</v>
      </c>
      <c r="D7" s="25" t="s">
        <v>53</v>
      </c>
      <c r="E7" s="5">
        <v>0</v>
      </c>
      <c r="F7" s="6">
        <v>0</v>
      </c>
      <c r="G7" s="6">
        <v>0</v>
      </c>
      <c r="H7" s="6">
        <v>7</v>
      </c>
      <c r="I7" s="6">
        <v>4</v>
      </c>
      <c r="J7" s="6">
        <v>4</v>
      </c>
      <c r="K7" s="6">
        <v>7</v>
      </c>
      <c r="L7" s="6">
        <v>4</v>
      </c>
      <c r="M7" s="7">
        <v>7</v>
      </c>
      <c r="N7" s="8">
        <v>14</v>
      </c>
      <c r="O7" s="30">
        <f t="shared" si="0"/>
        <v>47</v>
      </c>
      <c r="P7" s="62">
        <v>33</v>
      </c>
      <c r="Q7" s="61">
        <f t="shared" si="1"/>
        <v>47</v>
      </c>
      <c r="R7" s="61" t="b">
        <f t="shared" si="2"/>
        <v>1</v>
      </c>
    </row>
    <row r="8" spans="3:18" x14ac:dyDescent="0.3">
      <c r="C8" s="20" t="s">
        <v>10</v>
      </c>
      <c r="D8" s="25" t="str">
        <f>+D5</f>
        <v>Agr</v>
      </c>
      <c r="E8" s="5">
        <v>9</v>
      </c>
      <c r="F8" s="6">
        <v>5</v>
      </c>
      <c r="G8" s="6">
        <v>4</v>
      </c>
      <c r="H8" s="6">
        <v>7</v>
      </c>
      <c r="I8" s="6">
        <v>10</v>
      </c>
      <c r="J8" s="6">
        <v>9</v>
      </c>
      <c r="K8" s="6">
        <v>10</v>
      </c>
      <c r="L8" s="6">
        <v>9</v>
      </c>
      <c r="M8" s="7">
        <v>9</v>
      </c>
      <c r="N8" s="8">
        <v>10</v>
      </c>
      <c r="O8" s="30">
        <f t="shared" si="0"/>
        <v>82</v>
      </c>
      <c r="P8" s="62">
        <v>72</v>
      </c>
      <c r="Q8" s="61">
        <f t="shared" si="1"/>
        <v>82</v>
      </c>
      <c r="R8" s="61" t="b">
        <f t="shared" si="2"/>
        <v>1</v>
      </c>
    </row>
    <row r="9" spans="3:18" x14ac:dyDescent="0.3">
      <c r="C9" s="20" t="s">
        <v>10</v>
      </c>
      <c r="D9" s="25" t="str">
        <f t="shared" ref="D9:D13" si="3">+D6</f>
        <v>Ind</v>
      </c>
      <c r="E9" s="5">
        <v>4</v>
      </c>
      <c r="F9" s="6">
        <v>2</v>
      </c>
      <c r="G9" s="6">
        <v>3</v>
      </c>
      <c r="H9" s="6">
        <v>6</v>
      </c>
      <c r="I9" s="6">
        <v>7</v>
      </c>
      <c r="J9" s="6">
        <v>4</v>
      </c>
      <c r="K9" s="6">
        <v>9</v>
      </c>
      <c r="L9" s="6">
        <v>2</v>
      </c>
      <c r="M9" s="7">
        <v>8</v>
      </c>
      <c r="N9" s="8">
        <v>5</v>
      </c>
      <c r="O9" s="30">
        <f t="shared" si="0"/>
        <v>50</v>
      </c>
      <c r="P9" s="62">
        <v>45</v>
      </c>
      <c r="Q9" s="61">
        <f t="shared" si="1"/>
        <v>50</v>
      </c>
      <c r="R9" s="61" t="b">
        <f t="shared" si="2"/>
        <v>1</v>
      </c>
    </row>
    <row r="10" spans="3:18" x14ac:dyDescent="0.3">
      <c r="C10" s="20" t="s">
        <v>10</v>
      </c>
      <c r="D10" s="25" t="str">
        <f t="shared" si="3"/>
        <v>Serv</v>
      </c>
      <c r="E10" s="5">
        <v>6</v>
      </c>
      <c r="F10" s="6">
        <v>5</v>
      </c>
      <c r="G10" s="6">
        <v>4</v>
      </c>
      <c r="H10" s="6">
        <v>1</v>
      </c>
      <c r="I10" s="6">
        <v>9</v>
      </c>
      <c r="J10" s="6">
        <v>2</v>
      </c>
      <c r="K10" s="6">
        <v>1</v>
      </c>
      <c r="L10" s="6">
        <v>6</v>
      </c>
      <c r="M10" s="7">
        <v>1</v>
      </c>
      <c r="N10" s="8">
        <v>20</v>
      </c>
      <c r="O10" s="30">
        <f t="shared" si="0"/>
        <v>55</v>
      </c>
      <c r="P10" s="62">
        <v>35</v>
      </c>
      <c r="Q10" s="61">
        <f t="shared" si="1"/>
        <v>55</v>
      </c>
      <c r="R10" s="61" t="b">
        <f t="shared" si="2"/>
        <v>1</v>
      </c>
    </row>
    <row r="11" spans="3:18" x14ac:dyDescent="0.3">
      <c r="C11" s="20" t="s">
        <v>11</v>
      </c>
      <c r="D11" s="25" t="str">
        <f t="shared" si="3"/>
        <v>Agr</v>
      </c>
      <c r="E11" s="5">
        <v>3</v>
      </c>
      <c r="F11" s="6">
        <v>10</v>
      </c>
      <c r="G11" s="6">
        <v>8</v>
      </c>
      <c r="H11" s="6">
        <v>9</v>
      </c>
      <c r="I11" s="6">
        <v>10</v>
      </c>
      <c r="J11" s="6">
        <v>0</v>
      </c>
      <c r="K11" s="6">
        <v>7</v>
      </c>
      <c r="L11" s="6">
        <v>9</v>
      </c>
      <c r="M11" s="7">
        <v>8</v>
      </c>
      <c r="N11" s="8">
        <v>15</v>
      </c>
      <c r="O11" s="30">
        <f t="shared" si="0"/>
        <v>79</v>
      </c>
      <c r="P11" s="62">
        <v>64</v>
      </c>
      <c r="Q11" s="61">
        <f t="shared" si="1"/>
        <v>79</v>
      </c>
      <c r="R11" s="61" t="b">
        <f t="shared" si="2"/>
        <v>1</v>
      </c>
    </row>
    <row r="12" spans="3:18" x14ac:dyDescent="0.3">
      <c r="C12" s="20" t="s">
        <v>11</v>
      </c>
      <c r="D12" s="25" t="str">
        <f t="shared" si="3"/>
        <v>Ind</v>
      </c>
      <c r="E12" s="5">
        <v>1</v>
      </c>
      <c r="F12" s="6">
        <v>8</v>
      </c>
      <c r="G12" s="6">
        <v>0</v>
      </c>
      <c r="H12" s="6">
        <v>9</v>
      </c>
      <c r="I12" s="6">
        <v>0</v>
      </c>
      <c r="J12" s="6">
        <v>0</v>
      </c>
      <c r="K12" s="6">
        <v>8</v>
      </c>
      <c r="L12" s="6">
        <v>10</v>
      </c>
      <c r="M12" s="7">
        <v>1</v>
      </c>
      <c r="N12" s="8">
        <v>28</v>
      </c>
      <c r="O12" s="30">
        <f t="shared" si="0"/>
        <v>65</v>
      </c>
      <c r="P12" s="62">
        <v>37</v>
      </c>
      <c r="Q12" s="61">
        <f t="shared" si="1"/>
        <v>65</v>
      </c>
      <c r="R12" s="61" t="b">
        <f t="shared" si="2"/>
        <v>1</v>
      </c>
    </row>
    <row r="13" spans="3:18" x14ac:dyDescent="0.3">
      <c r="C13" s="20" t="s">
        <v>11</v>
      </c>
      <c r="D13" s="25" t="str">
        <f t="shared" si="3"/>
        <v>Serv</v>
      </c>
      <c r="E13" s="9">
        <v>10</v>
      </c>
      <c r="F13" s="10">
        <v>2</v>
      </c>
      <c r="G13" s="10">
        <v>4</v>
      </c>
      <c r="H13" s="10">
        <v>10</v>
      </c>
      <c r="I13" s="10">
        <v>0</v>
      </c>
      <c r="J13" s="10">
        <v>0</v>
      </c>
      <c r="K13" s="10">
        <v>3</v>
      </c>
      <c r="L13" s="10">
        <v>0</v>
      </c>
      <c r="M13" s="11">
        <v>7</v>
      </c>
      <c r="N13" s="12">
        <v>24</v>
      </c>
      <c r="O13" s="31">
        <f t="shared" si="0"/>
        <v>60</v>
      </c>
      <c r="P13" s="62">
        <v>36</v>
      </c>
      <c r="Q13" s="61">
        <f t="shared" si="1"/>
        <v>60</v>
      </c>
      <c r="R13" s="61" t="b">
        <f t="shared" si="2"/>
        <v>1</v>
      </c>
    </row>
    <row r="14" spans="3:18" x14ac:dyDescent="0.3">
      <c r="D14" s="22" t="s">
        <v>9</v>
      </c>
      <c r="E14" s="13">
        <v>20</v>
      </c>
      <c r="F14" s="14">
        <v>15</v>
      </c>
      <c r="G14" s="14">
        <v>5</v>
      </c>
      <c r="H14" s="14">
        <v>28</v>
      </c>
      <c r="I14" s="14">
        <v>8</v>
      </c>
      <c r="J14" s="14">
        <v>18</v>
      </c>
      <c r="K14" s="14">
        <v>30</v>
      </c>
      <c r="L14" s="14">
        <v>14</v>
      </c>
      <c r="M14" s="15">
        <v>10</v>
      </c>
      <c r="N14" s="19">
        <f>+SUM(E5:M13)</f>
        <v>416</v>
      </c>
      <c r="O14" s="19">
        <f>SUM(O5:O13)</f>
        <v>564</v>
      </c>
      <c r="R14" s="18"/>
    </row>
    <row r="15" spans="3:18" x14ac:dyDescent="0.3">
      <c r="D15" s="20" t="s">
        <v>8</v>
      </c>
      <c r="E15" s="13">
        <f t="shared" ref="E15:L15" si="4">SUM(E5:E14)</f>
        <v>71</v>
      </c>
      <c r="F15" s="14">
        <f t="shared" si="4"/>
        <v>55</v>
      </c>
      <c r="G15" s="14">
        <f t="shared" si="4"/>
        <v>47</v>
      </c>
      <c r="H15" s="14">
        <f t="shared" si="4"/>
        <v>82</v>
      </c>
      <c r="I15" s="14">
        <f t="shared" si="4"/>
        <v>50</v>
      </c>
      <c r="J15" s="14">
        <f t="shared" si="4"/>
        <v>55</v>
      </c>
      <c r="K15" s="14">
        <f t="shared" si="4"/>
        <v>79</v>
      </c>
      <c r="L15" s="14">
        <f t="shared" si="4"/>
        <v>65</v>
      </c>
      <c r="M15" s="15">
        <f>SUM(M5:M14)</f>
        <v>60</v>
      </c>
      <c r="R15" s="18"/>
    </row>
    <row r="16" spans="3:18" x14ac:dyDescent="0.3">
      <c r="E16" s="16" cm="1">
        <f t="array" ref="E16:M16">+TRANSPOSE(O5:O13)</f>
        <v>71</v>
      </c>
      <c r="F16" s="16">
        <v>55</v>
      </c>
      <c r="G16" s="16">
        <v>47</v>
      </c>
      <c r="H16" s="16">
        <v>82</v>
      </c>
      <c r="I16" s="16">
        <v>50</v>
      </c>
      <c r="J16" s="16">
        <v>55</v>
      </c>
      <c r="K16" s="16">
        <v>79</v>
      </c>
      <c r="L16" s="16">
        <v>65</v>
      </c>
      <c r="M16" s="16">
        <v>60</v>
      </c>
      <c r="R16" s="18"/>
    </row>
    <row r="17" spans="3:18" x14ac:dyDescent="0.3">
      <c r="E17" s="17">
        <f>+E15-E16</f>
        <v>0</v>
      </c>
      <c r="F17" s="17">
        <f t="shared" ref="F17:I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ref="J17:M17" si="6">+J15-J16</f>
        <v>0</v>
      </c>
      <c r="K17" s="17">
        <f t="shared" si="6"/>
        <v>0</v>
      </c>
      <c r="L17" s="17">
        <f t="shared" si="6"/>
        <v>0</v>
      </c>
      <c r="M17" s="17">
        <f t="shared" si="6"/>
        <v>0</v>
      </c>
      <c r="R17" s="18"/>
    </row>
    <row r="18" spans="3:18" x14ac:dyDescent="0.3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" thickBot="1" x14ac:dyDescent="0.35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" thickBot="1" x14ac:dyDescent="0.35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3">
      <c r="C21" s="20" t="s">
        <v>1</v>
      </c>
      <c r="D21" s="28" t="s">
        <v>51</v>
      </c>
      <c r="E21" s="1">
        <f>+E5/E$15</f>
        <v>0.14084507042253522</v>
      </c>
      <c r="F21" s="2">
        <f t="shared" ref="F21:M21" si="7">+F5/F$15</f>
        <v>9.0909090909090912E-2</v>
      </c>
      <c r="G21" s="2">
        <f t="shared" si="7"/>
        <v>0.21276595744680851</v>
      </c>
      <c r="H21" s="2">
        <f t="shared" si="7"/>
        <v>1.2195121951219513E-2</v>
      </c>
      <c r="I21" s="2">
        <f t="shared" si="7"/>
        <v>0</v>
      </c>
      <c r="J21" s="2">
        <f t="shared" si="7"/>
        <v>0.14545454545454545</v>
      </c>
      <c r="K21" s="2">
        <f t="shared" si="7"/>
        <v>3.7974683544303799E-2</v>
      </c>
      <c r="L21" s="2">
        <f t="shared" si="7"/>
        <v>0.1076923076923077</v>
      </c>
      <c r="M21" s="3">
        <f t="shared" si="7"/>
        <v>3.3333333333333333E-2</v>
      </c>
    </row>
    <row r="22" spans="3:18" x14ac:dyDescent="0.3">
      <c r="C22" s="20" t="s">
        <v>1</v>
      </c>
      <c r="D22" s="25" t="s">
        <v>52</v>
      </c>
      <c r="E22" s="5">
        <f t="shared" ref="E22:M22" si="8">+E6/E$15</f>
        <v>0.11267605633802817</v>
      </c>
      <c r="F22" s="6">
        <f t="shared" si="8"/>
        <v>5.4545454545454543E-2</v>
      </c>
      <c r="G22" s="6">
        <f t="shared" si="8"/>
        <v>0.19148936170212766</v>
      </c>
      <c r="H22" s="6">
        <f t="shared" si="8"/>
        <v>4.878048780487805E-2</v>
      </c>
      <c r="I22" s="6">
        <f t="shared" si="8"/>
        <v>0.04</v>
      </c>
      <c r="J22" s="6">
        <f t="shared" si="8"/>
        <v>0.18181818181818182</v>
      </c>
      <c r="K22" s="6">
        <f t="shared" si="8"/>
        <v>1.2658227848101266E-2</v>
      </c>
      <c r="L22" s="6">
        <f t="shared" si="8"/>
        <v>6.1538461538461542E-2</v>
      </c>
      <c r="M22" s="7">
        <f t="shared" si="8"/>
        <v>0.11666666666666667</v>
      </c>
    </row>
    <row r="23" spans="3:18" x14ac:dyDescent="0.3">
      <c r="C23" s="20" t="s">
        <v>1</v>
      </c>
      <c r="D23" s="25" t="s">
        <v>53</v>
      </c>
      <c r="E23" s="5">
        <f t="shared" ref="E23:M23" si="9">+E7/E$15</f>
        <v>0</v>
      </c>
      <c r="F23" s="6">
        <f t="shared" si="9"/>
        <v>0</v>
      </c>
      <c r="G23" s="6">
        <f t="shared" si="9"/>
        <v>0</v>
      </c>
      <c r="H23" s="6">
        <f t="shared" si="9"/>
        <v>8.5365853658536592E-2</v>
      </c>
      <c r="I23" s="6">
        <f t="shared" si="9"/>
        <v>0.08</v>
      </c>
      <c r="J23" s="6">
        <f t="shared" si="9"/>
        <v>7.2727272727272724E-2</v>
      </c>
      <c r="K23" s="6">
        <f t="shared" si="9"/>
        <v>8.8607594936708861E-2</v>
      </c>
      <c r="L23" s="6">
        <f t="shared" si="9"/>
        <v>6.1538461538461542E-2</v>
      </c>
      <c r="M23" s="7">
        <f t="shared" si="9"/>
        <v>0.11666666666666667</v>
      </c>
    </row>
    <row r="24" spans="3:18" x14ac:dyDescent="0.3">
      <c r="C24" s="20" t="s">
        <v>10</v>
      </c>
      <c r="D24" s="25" t="str">
        <f>+D21</f>
        <v>Agr</v>
      </c>
      <c r="E24" s="5">
        <f t="shared" ref="E24:M24" si="10">+E8/E$15</f>
        <v>0.12676056338028169</v>
      </c>
      <c r="F24" s="6">
        <f t="shared" si="10"/>
        <v>9.0909090909090912E-2</v>
      </c>
      <c r="G24" s="6">
        <f t="shared" si="10"/>
        <v>8.5106382978723402E-2</v>
      </c>
      <c r="H24" s="6">
        <f t="shared" si="10"/>
        <v>8.5365853658536592E-2</v>
      </c>
      <c r="I24" s="6">
        <f t="shared" si="10"/>
        <v>0.2</v>
      </c>
      <c r="J24" s="6">
        <f t="shared" si="10"/>
        <v>0.16363636363636364</v>
      </c>
      <c r="K24" s="6">
        <f t="shared" si="10"/>
        <v>0.12658227848101267</v>
      </c>
      <c r="L24" s="6">
        <f t="shared" si="10"/>
        <v>0.13846153846153847</v>
      </c>
      <c r="M24" s="7">
        <f t="shared" si="10"/>
        <v>0.15</v>
      </c>
    </row>
    <row r="25" spans="3:18" x14ac:dyDescent="0.3">
      <c r="C25" s="20" t="s">
        <v>10</v>
      </c>
      <c r="D25" s="25" t="str">
        <f t="shared" ref="D25:D29" si="11">+D22</f>
        <v>Ind</v>
      </c>
      <c r="E25" s="5">
        <f t="shared" ref="E25:M25" si="12">+E9/E$15</f>
        <v>5.6338028169014086E-2</v>
      </c>
      <c r="F25" s="6">
        <f t="shared" si="12"/>
        <v>3.6363636363636362E-2</v>
      </c>
      <c r="G25" s="6">
        <f t="shared" si="12"/>
        <v>6.3829787234042548E-2</v>
      </c>
      <c r="H25" s="6">
        <f t="shared" si="12"/>
        <v>7.3170731707317069E-2</v>
      </c>
      <c r="I25" s="6">
        <f t="shared" si="12"/>
        <v>0.14000000000000001</v>
      </c>
      <c r="J25" s="6">
        <f t="shared" si="12"/>
        <v>7.2727272727272724E-2</v>
      </c>
      <c r="K25" s="6">
        <f t="shared" si="12"/>
        <v>0.11392405063291139</v>
      </c>
      <c r="L25" s="6">
        <f t="shared" si="12"/>
        <v>3.0769230769230771E-2</v>
      </c>
      <c r="M25" s="7">
        <f t="shared" si="12"/>
        <v>0.13333333333333333</v>
      </c>
    </row>
    <row r="26" spans="3:18" x14ac:dyDescent="0.3">
      <c r="C26" s="20" t="s">
        <v>10</v>
      </c>
      <c r="D26" s="25" t="str">
        <f t="shared" si="11"/>
        <v>Serv</v>
      </c>
      <c r="E26" s="5">
        <f t="shared" ref="E26:M26" si="13">+E10/E$15</f>
        <v>8.4507042253521125E-2</v>
      </c>
      <c r="F26" s="6">
        <f t="shared" si="13"/>
        <v>9.0909090909090912E-2</v>
      </c>
      <c r="G26" s="6">
        <f t="shared" si="13"/>
        <v>8.5106382978723402E-2</v>
      </c>
      <c r="H26" s="6">
        <f t="shared" si="13"/>
        <v>1.2195121951219513E-2</v>
      </c>
      <c r="I26" s="6">
        <f t="shared" si="13"/>
        <v>0.18</v>
      </c>
      <c r="J26" s="6">
        <f t="shared" si="13"/>
        <v>3.6363636363636362E-2</v>
      </c>
      <c r="K26" s="6">
        <f t="shared" si="13"/>
        <v>1.2658227848101266E-2</v>
      </c>
      <c r="L26" s="6">
        <f t="shared" si="13"/>
        <v>9.2307692307692313E-2</v>
      </c>
      <c r="M26" s="7">
        <f t="shared" si="13"/>
        <v>1.6666666666666666E-2</v>
      </c>
    </row>
    <row r="27" spans="3:18" x14ac:dyDescent="0.3">
      <c r="C27" s="20" t="s">
        <v>11</v>
      </c>
      <c r="D27" s="25" t="str">
        <f t="shared" si="11"/>
        <v>Agr</v>
      </c>
      <c r="E27" s="5">
        <f t="shared" ref="E27:M27" si="14">+E11/E$15</f>
        <v>4.2253521126760563E-2</v>
      </c>
      <c r="F27" s="6">
        <f t="shared" si="14"/>
        <v>0.18181818181818182</v>
      </c>
      <c r="G27" s="6">
        <f t="shared" si="14"/>
        <v>0.1702127659574468</v>
      </c>
      <c r="H27" s="6">
        <f t="shared" si="14"/>
        <v>0.10975609756097561</v>
      </c>
      <c r="I27" s="6">
        <f t="shared" si="14"/>
        <v>0.2</v>
      </c>
      <c r="J27" s="6">
        <f t="shared" si="14"/>
        <v>0</v>
      </c>
      <c r="K27" s="6">
        <f t="shared" si="14"/>
        <v>8.8607594936708861E-2</v>
      </c>
      <c r="L27" s="6">
        <f t="shared" si="14"/>
        <v>0.13846153846153847</v>
      </c>
      <c r="M27" s="7">
        <f t="shared" si="14"/>
        <v>0.13333333333333333</v>
      </c>
    </row>
    <row r="28" spans="3:18" x14ac:dyDescent="0.3">
      <c r="C28" s="20" t="s">
        <v>11</v>
      </c>
      <c r="D28" s="25" t="str">
        <f t="shared" si="11"/>
        <v>Ind</v>
      </c>
      <c r="E28" s="5">
        <f t="shared" ref="E28:M28" si="15">+E12/E$15</f>
        <v>1.4084507042253521E-2</v>
      </c>
      <c r="F28" s="6">
        <f t="shared" si="15"/>
        <v>0.14545454545454545</v>
      </c>
      <c r="G28" s="6">
        <f t="shared" si="15"/>
        <v>0</v>
      </c>
      <c r="H28" s="6">
        <f t="shared" si="15"/>
        <v>0.10975609756097561</v>
      </c>
      <c r="I28" s="6">
        <f t="shared" si="15"/>
        <v>0</v>
      </c>
      <c r="J28" s="6">
        <f t="shared" si="15"/>
        <v>0</v>
      </c>
      <c r="K28" s="6">
        <f t="shared" si="15"/>
        <v>0.10126582278481013</v>
      </c>
      <c r="L28" s="6">
        <f t="shared" si="15"/>
        <v>0.15384615384615385</v>
      </c>
      <c r="M28" s="7">
        <f t="shared" si="15"/>
        <v>1.6666666666666666E-2</v>
      </c>
    </row>
    <row r="29" spans="3:18" x14ac:dyDescent="0.3">
      <c r="C29" s="20" t="s">
        <v>11</v>
      </c>
      <c r="D29" s="25" t="str">
        <f t="shared" si="11"/>
        <v>Serv</v>
      </c>
      <c r="E29" s="9">
        <f t="shared" ref="E29:M29" si="16">+E13/E$15</f>
        <v>0.14084507042253522</v>
      </c>
      <c r="F29" s="10">
        <f t="shared" si="16"/>
        <v>3.6363636363636362E-2</v>
      </c>
      <c r="G29" s="10">
        <f t="shared" si="16"/>
        <v>8.5106382978723402E-2</v>
      </c>
      <c r="H29" s="10">
        <f t="shared" si="16"/>
        <v>0.12195121951219512</v>
      </c>
      <c r="I29" s="10">
        <f t="shared" si="16"/>
        <v>0</v>
      </c>
      <c r="J29" s="10">
        <f t="shared" si="16"/>
        <v>0</v>
      </c>
      <c r="K29" s="10">
        <f t="shared" si="16"/>
        <v>3.7974683544303799E-2</v>
      </c>
      <c r="L29" s="10">
        <f t="shared" si="16"/>
        <v>0</v>
      </c>
      <c r="M29" s="11">
        <f t="shared" si="16"/>
        <v>0.11666666666666667</v>
      </c>
    </row>
    <row r="30" spans="3:18" x14ac:dyDescent="0.3">
      <c r="D30" s="22" t="s">
        <v>9</v>
      </c>
      <c r="E30" s="13">
        <f t="shared" ref="E30:M30" si="17">+E14/E$15</f>
        <v>0.28169014084507044</v>
      </c>
      <c r="F30" s="14">
        <f t="shared" si="17"/>
        <v>0.27272727272727271</v>
      </c>
      <c r="G30" s="14">
        <f t="shared" si="17"/>
        <v>0.10638297872340426</v>
      </c>
      <c r="H30" s="14">
        <f t="shared" si="17"/>
        <v>0.34146341463414637</v>
      </c>
      <c r="I30" s="14">
        <f t="shared" si="17"/>
        <v>0.16</v>
      </c>
      <c r="J30" s="14">
        <f t="shared" si="17"/>
        <v>0.32727272727272727</v>
      </c>
      <c r="K30" s="14">
        <f t="shared" si="17"/>
        <v>0.379746835443038</v>
      </c>
      <c r="L30" s="14">
        <f t="shared" si="17"/>
        <v>0.2153846153846154</v>
      </c>
      <c r="M30" s="15">
        <f t="shared" si="17"/>
        <v>0.16666666666666666</v>
      </c>
    </row>
    <row r="31" spans="3:18" x14ac:dyDescent="0.3">
      <c r="D31" s="20" t="s">
        <v>8</v>
      </c>
      <c r="E31" s="13">
        <f t="shared" ref="E31:M31" si="18">SUM(E21:E30)</f>
        <v>1</v>
      </c>
      <c r="F31" s="14">
        <f t="shared" si="18"/>
        <v>1</v>
      </c>
      <c r="G31" s="14">
        <f t="shared" si="18"/>
        <v>1</v>
      </c>
      <c r="H31" s="14">
        <f t="shared" si="18"/>
        <v>1</v>
      </c>
      <c r="I31" s="14">
        <f t="shared" si="18"/>
        <v>1</v>
      </c>
      <c r="J31" s="14">
        <f t="shared" si="18"/>
        <v>1</v>
      </c>
      <c r="K31" s="14">
        <f t="shared" si="18"/>
        <v>1</v>
      </c>
      <c r="L31" s="14">
        <f t="shared" si="18"/>
        <v>1</v>
      </c>
      <c r="M31" s="15">
        <f t="shared" si="18"/>
        <v>1</v>
      </c>
    </row>
    <row r="34" spans="2:18" ht="15" thickBot="1" x14ac:dyDescent="0.35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2:18" ht="15" thickBot="1" x14ac:dyDescent="0.35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2:18" x14ac:dyDescent="0.3">
      <c r="C36" s="20" t="s">
        <v>1</v>
      </c>
      <c r="D36" s="28" t="s">
        <v>51</v>
      </c>
      <c r="E36" s="1" cm="1">
        <f t="array" ref="E36:M44">+MINVERSE(_xlfn.MUNIT(COUNTA($D$36:$D$44))-E21:M29)</f>
        <v>1.3396897673098553</v>
      </c>
      <c r="F36" s="2">
        <v>0.29313766151442472</v>
      </c>
      <c r="G36" s="2">
        <v>0.46062080591971027</v>
      </c>
      <c r="H36" s="2">
        <v>0.20047114765858043</v>
      </c>
      <c r="I36" s="2">
        <v>0.22471967444765886</v>
      </c>
      <c r="J36" s="2">
        <v>0.34329239630226011</v>
      </c>
      <c r="K36" s="2">
        <v>0.21398444112354956</v>
      </c>
      <c r="L36" s="2">
        <v>0.33876647757551959</v>
      </c>
      <c r="M36" s="3">
        <v>0.26323813083081754</v>
      </c>
      <c r="N36" s="16" cm="1">
        <f t="array" ref="N36:N44">+MMULT(_xlfn.ANCHORARRAY(E36),N5:N13)</f>
        <v>71</v>
      </c>
    </row>
    <row r="37" spans="2:18" x14ac:dyDescent="0.3">
      <c r="C37" s="20" t="s">
        <v>1</v>
      </c>
      <c r="D37" s="25" t="s">
        <v>52</v>
      </c>
      <c r="E37" s="5">
        <v>0.33305376452405477</v>
      </c>
      <c r="F37" s="6">
        <v>1.2588962622476694</v>
      </c>
      <c r="G37" s="6">
        <v>0.44906571639362902</v>
      </c>
      <c r="H37" s="6">
        <v>0.24914151781031268</v>
      </c>
      <c r="I37" s="6">
        <v>0.2850825641197372</v>
      </c>
      <c r="J37" s="6">
        <v>0.38551433058519635</v>
      </c>
      <c r="K37" s="6">
        <v>0.19834507137089469</v>
      </c>
      <c r="L37" s="6">
        <v>0.29225190328391093</v>
      </c>
      <c r="M37" s="7">
        <v>0.36621325203064486</v>
      </c>
      <c r="N37" s="16">
        <v>55.000000000000007</v>
      </c>
    </row>
    <row r="38" spans="2:18" x14ac:dyDescent="0.3">
      <c r="C38" s="20" t="s">
        <v>1</v>
      </c>
      <c r="D38" s="25" t="s">
        <v>53</v>
      </c>
      <c r="E38" s="5">
        <v>0.16096426404995831</v>
      </c>
      <c r="F38" s="6">
        <v>0.16098912768389811</v>
      </c>
      <c r="G38" s="6">
        <v>1.1866305477256527</v>
      </c>
      <c r="H38" s="6">
        <v>0.24266960433010817</v>
      </c>
      <c r="I38" s="6">
        <v>0.27162888961053594</v>
      </c>
      <c r="J38" s="6">
        <v>0.20593716184064856</v>
      </c>
      <c r="K38" s="6">
        <v>0.23314113071157197</v>
      </c>
      <c r="L38" s="6">
        <v>0.22869828937505449</v>
      </c>
      <c r="M38" s="7">
        <v>0.3096620435609494</v>
      </c>
      <c r="N38" s="16">
        <v>47.000000000000014</v>
      </c>
    </row>
    <row r="39" spans="2:18" x14ac:dyDescent="0.3">
      <c r="C39" s="20" t="s">
        <v>10</v>
      </c>
      <c r="D39" s="25" t="str">
        <f>+D36</f>
        <v>Agr</v>
      </c>
      <c r="E39" s="5">
        <v>0.46948940027866004</v>
      </c>
      <c r="F39" s="6">
        <v>0.42979983594636084</v>
      </c>
      <c r="G39" s="6">
        <v>0.50026321949972674</v>
      </c>
      <c r="H39" s="6">
        <v>1.4082652483739835</v>
      </c>
      <c r="I39" s="6">
        <v>0.59296552145230841</v>
      </c>
      <c r="J39" s="6">
        <v>0.47360784454465799</v>
      </c>
      <c r="K39" s="6">
        <v>0.42917417879158681</v>
      </c>
      <c r="L39" s="6">
        <v>0.50129474506177585</v>
      </c>
      <c r="M39" s="7">
        <v>0.55237410595478087</v>
      </c>
      <c r="N39" s="16">
        <v>82</v>
      </c>
    </row>
    <row r="40" spans="2:18" x14ac:dyDescent="0.3">
      <c r="C40" s="20" t="s">
        <v>10</v>
      </c>
      <c r="D40" s="25" t="str">
        <f t="shared" ref="D40:D44" si="19">+D37</f>
        <v>Ind</v>
      </c>
      <c r="E40" s="5">
        <v>0.27827723239842433</v>
      </c>
      <c r="F40" s="6">
        <v>0.24820393574606325</v>
      </c>
      <c r="G40" s="6">
        <v>0.33029476378346578</v>
      </c>
      <c r="H40" s="6">
        <v>0.28495600131722088</v>
      </c>
      <c r="I40" s="6">
        <v>1.3995953346694374</v>
      </c>
      <c r="J40" s="6">
        <v>0.26778154004367211</v>
      </c>
      <c r="K40" s="6">
        <v>0.31054185905945586</v>
      </c>
      <c r="L40" s="6">
        <v>0.25504174687087422</v>
      </c>
      <c r="M40" s="7">
        <v>0.40329377754913653</v>
      </c>
      <c r="N40" s="16">
        <v>50</v>
      </c>
    </row>
    <row r="41" spans="2:18" x14ac:dyDescent="0.3">
      <c r="C41" s="20" t="s">
        <v>10</v>
      </c>
      <c r="D41" s="25" t="str">
        <f t="shared" si="19"/>
        <v>Serv</v>
      </c>
      <c r="E41" s="5">
        <v>0.24935170583985158</v>
      </c>
      <c r="F41" s="6">
        <v>0.25257975039975866</v>
      </c>
      <c r="G41" s="6">
        <v>0.28900630839132929</v>
      </c>
      <c r="H41" s="6">
        <v>0.17116188311097175</v>
      </c>
      <c r="I41" s="6">
        <v>0.36899674724360437</v>
      </c>
      <c r="J41" s="6">
        <v>1.201756232476507</v>
      </c>
      <c r="K41" s="6">
        <v>0.16782504737118717</v>
      </c>
      <c r="L41" s="6">
        <v>0.27111308072234536</v>
      </c>
      <c r="M41" s="7">
        <v>0.21882464983647648</v>
      </c>
      <c r="N41" s="16">
        <v>55</v>
      </c>
    </row>
    <row r="42" spans="2:18" x14ac:dyDescent="0.3">
      <c r="C42" s="20" t="s">
        <v>11</v>
      </c>
      <c r="D42" s="25" t="str">
        <f t="shared" si="19"/>
        <v>Agr</v>
      </c>
      <c r="E42" s="5">
        <v>0.35214837075990457</v>
      </c>
      <c r="F42" s="6">
        <v>0.48083150088067539</v>
      </c>
      <c r="G42" s="6">
        <v>0.54248305189281365</v>
      </c>
      <c r="H42" s="6">
        <v>0.42036737225086895</v>
      </c>
      <c r="I42" s="6">
        <v>0.55309703312036218</v>
      </c>
      <c r="J42" s="6">
        <v>0.29794582387163238</v>
      </c>
      <c r="K42" s="6">
        <v>1.376639107748959</v>
      </c>
      <c r="L42" s="6">
        <v>0.46591316610695016</v>
      </c>
      <c r="M42" s="7">
        <v>0.52551986939858886</v>
      </c>
      <c r="N42" s="16">
        <v>79.000000000000014</v>
      </c>
    </row>
    <row r="43" spans="2:18" x14ac:dyDescent="0.3">
      <c r="C43" s="20" t="s">
        <v>11</v>
      </c>
      <c r="D43" s="25" t="str">
        <f t="shared" si="19"/>
        <v>Ind</v>
      </c>
      <c r="E43" s="5">
        <v>0.18895230008671562</v>
      </c>
      <c r="F43" s="6">
        <v>0.33840247482967128</v>
      </c>
      <c r="G43" s="6">
        <v>0.22055756496026482</v>
      </c>
      <c r="H43" s="6">
        <v>0.28461936418358202</v>
      </c>
      <c r="I43" s="6">
        <v>0.19938770529705943</v>
      </c>
      <c r="J43" s="6">
        <v>0.17239619825796176</v>
      </c>
      <c r="K43" s="6">
        <v>0.26168766921156789</v>
      </c>
      <c r="L43" s="6">
        <v>1.3619713120084544</v>
      </c>
      <c r="M43" s="7">
        <v>0.22783338986208793</v>
      </c>
      <c r="N43" s="16">
        <v>65</v>
      </c>
    </row>
    <row r="44" spans="2:18" x14ac:dyDescent="0.3">
      <c r="C44" s="20" t="s">
        <v>11</v>
      </c>
      <c r="D44" s="25" t="str">
        <f t="shared" si="19"/>
        <v>Serv</v>
      </c>
      <c r="E44" s="9">
        <v>0.32278455821683549</v>
      </c>
      <c r="F44" s="10">
        <v>0.19408333704833722</v>
      </c>
      <c r="G44" s="10">
        <v>0.29864603550568125</v>
      </c>
      <c r="H44" s="10">
        <v>0.27809522164442302</v>
      </c>
      <c r="I44" s="10">
        <v>0.17937871997805888</v>
      </c>
      <c r="J44" s="10">
        <v>0.16864275194250614</v>
      </c>
      <c r="K44" s="10">
        <v>0.1831797159010346</v>
      </c>
      <c r="L44" s="10">
        <v>0.17731814158643994</v>
      </c>
      <c r="M44" s="11">
        <v>1.3178105679183645</v>
      </c>
      <c r="N44" s="16">
        <v>60.000000000000021</v>
      </c>
    </row>
    <row r="45" spans="2:18" ht="15" thickBot="1" x14ac:dyDescent="0.35"/>
    <row r="46" spans="2:18" ht="15" thickBot="1" x14ac:dyDescent="0.35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2:18" x14ac:dyDescent="0.3">
      <c r="B47" s="18"/>
      <c r="C47" s="22" t="s">
        <v>1</v>
      </c>
      <c r="D47" s="28" t="s">
        <v>51</v>
      </c>
      <c r="E47" s="32">
        <v>0</v>
      </c>
      <c r="F47" s="35">
        <f>1-E47</f>
        <v>1</v>
      </c>
      <c r="G47" s="1" cm="1">
        <f t="array" ref="G47:G55">+N5:N13</f>
        <v>25</v>
      </c>
      <c r="H47" s="3">
        <f>+G47*F47</f>
        <v>25</v>
      </c>
      <c r="I47" s="18"/>
      <c r="J47" s="22" t="s">
        <v>1</v>
      </c>
      <c r="K47" s="28" t="s">
        <v>51</v>
      </c>
      <c r="L47" s="32">
        <v>0.2</v>
      </c>
      <c r="M47" s="35">
        <f>1-L47</f>
        <v>0.8</v>
      </c>
      <c r="N47" s="1" cm="1">
        <f t="array" ref="N47:N55">+O5:O13</f>
        <v>71</v>
      </c>
      <c r="O47" s="3">
        <f>+N47*M47</f>
        <v>56.800000000000004</v>
      </c>
      <c r="P47" s="18"/>
      <c r="Q47" s="18"/>
      <c r="R47" s="18"/>
    </row>
    <row r="48" spans="2:18" x14ac:dyDescent="0.3">
      <c r="B48" s="18"/>
      <c r="C48" s="20" t="s">
        <v>1</v>
      </c>
      <c r="D48" s="25" t="s">
        <v>52</v>
      </c>
      <c r="E48" s="33">
        <v>0</v>
      </c>
      <c r="F48" s="36">
        <f t="shared" ref="F48:F55" si="20">1-E48</f>
        <v>1</v>
      </c>
      <c r="G48" s="5">
        <v>7</v>
      </c>
      <c r="H48" s="7">
        <f t="shared" ref="H48:H55" si="21">+G48*F48</f>
        <v>7</v>
      </c>
      <c r="I48" s="18"/>
      <c r="J48" s="20" t="s">
        <v>1</v>
      </c>
      <c r="K48" s="25" t="s">
        <v>52</v>
      </c>
      <c r="L48" s="33">
        <v>0</v>
      </c>
      <c r="M48" s="36">
        <f t="shared" ref="M48:M55" si="22">1-L48</f>
        <v>1</v>
      </c>
      <c r="N48" s="5">
        <v>55</v>
      </c>
      <c r="O48" s="7">
        <f t="shared" ref="O48:O55" si="23">+N48*M48</f>
        <v>55</v>
      </c>
      <c r="P48" s="18"/>
    </row>
    <row r="49" spans="1:16" x14ac:dyDescent="0.3">
      <c r="B49" s="18"/>
      <c r="C49" s="20" t="s">
        <v>1</v>
      </c>
      <c r="D49" s="25" t="s">
        <v>53</v>
      </c>
      <c r="E49" s="33">
        <v>0</v>
      </c>
      <c r="F49" s="36">
        <f t="shared" si="20"/>
        <v>1</v>
      </c>
      <c r="G49" s="5">
        <v>14</v>
      </c>
      <c r="H49" s="7">
        <f t="shared" si="21"/>
        <v>14</v>
      </c>
      <c r="I49" s="18"/>
      <c r="J49" s="20" t="s">
        <v>1</v>
      </c>
      <c r="K49" s="25" t="s">
        <v>53</v>
      </c>
      <c r="L49" s="33">
        <v>0</v>
      </c>
      <c r="M49" s="36">
        <f t="shared" si="22"/>
        <v>1</v>
      </c>
      <c r="N49" s="5">
        <v>47</v>
      </c>
      <c r="O49" s="7">
        <f t="shared" si="23"/>
        <v>47</v>
      </c>
      <c r="P49" s="18"/>
    </row>
    <row r="50" spans="1:16" x14ac:dyDescent="0.3">
      <c r="B50" s="18"/>
      <c r="C50" s="20" t="s">
        <v>10</v>
      </c>
      <c r="D50" s="25" t="str">
        <f>+D47</f>
        <v>Agr</v>
      </c>
      <c r="E50" s="33">
        <v>0</v>
      </c>
      <c r="F50" s="36">
        <f t="shared" si="20"/>
        <v>1</v>
      </c>
      <c r="G50" s="5">
        <v>10</v>
      </c>
      <c r="H50" s="7">
        <f t="shared" si="21"/>
        <v>10</v>
      </c>
      <c r="I50" s="18"/>
      <c r="J50" s="20" t="s">
        <v>10</v>
      </c>
      <c r="K50" s="25" t="str">
        <f>+K47</f>
        <v>Agr</v>
      </c>
      <c r="L50" s="33">
        <v>0</v>
      </c>
      <c r="M50" s="36">
        <f t="shared" si="22"/>
        <v>1</v>
      </c>
      <c r="N50" s="5">
        <v>82</v>
      </c>
      <c r="O50" s="7">
        <f t="shared" si="23"/>
        <v>82</v>
      </c>
      <c r="P50" s="18"/>
    </row>
    <row r="51" spans="1:16" x14ac:dyDescent="0.3">
      <c r="B51" s="18"/>
      <c r="C51" s="20" t="s">
        <v>10</v>
      </c>
      <c r="D51" s="25" t="str">
        <f t="shared" ref="D51:D55" si="24">+D48</f>
        <v>Ind</v>
      </c>
      <c r="E51" s="33">
        <v>0</v>
      </c>
      <c r="F51" s="36">
        <f t="shared" si="20"/>
        <v>1</v>
      </c>
      <c r="G51" s="5">
        <v>5</v>
      </c>
      <c r="H51" s="7">
        <f t="shared" si="21"/>
        <v>5</v>
      </c>
      <c r="I51" s="18"/>
      <c r="J51" s="20" t="s">
        <v>10</v>
      </c>
      <c r="K51" s="25" t="str">
        <f t="shared" ref="K51:K55" si="25">+K48</f>
        <v>Ind</v>
      </c>
      <c r="L51" s="33">
        <v>0</v>
      </c>
      <c r="M51" s="36">
        <f t="shared" si="22"/>
        <v>1</v>
      </c>
      <c r="N51" s="5">
        <v>50</v>
      </c>
      <c r="O51" s="7">
        <f t="shared" si="23"/>
        <v>50</v>
      </c>
      <c r="P51" s="18"/>
    </row>
    <row r="52" spans="1:16" x14ac:dyDescent="0.3">
      <c r="B52" s="18"/>
      <c r="C52" s="20" t="s">
        <v>10</v>
      </c>
      <c r="D52" s="25" t="str">
        <f t="shared" si="24"/>
        <v>Serv</v>
      </c>
      <c r="E52" s="33">
        <v>0</v>
      </c>
      <c r="F52" s="36">
        <f t="shared" si="20"/>
        <v>1</v>
      </c>
      <c r="G52" s="5">
        <v>20</v>
      </c>
      <c r="H52" s="7">
        <f t="shared" si="21"/>
        <v>20</v>
      </c>
      <c r="I52" s="18"/>
      <c r="J52" s="20" t="s">
        <v>10</v>
      </c>
      <c r="K52" s="25" t="str">
        <f t="shared" si="25"/>
        <v>Serv</v>
      </c>
      <c r="L52" s="33">
        <v>0</v>
      </c>
      <c r="M52" s="36">
        <f t="shared" si="22"/>
        <v>1</v>
      </c>
      <c r="N52" s="5">
        <v>55</v>
      </c>
      <c r="O52" s="7">
        <f t="shared" si="23"/>
        <v>55</v>
      </c>
      <c r="P52" s="18"/>
    </row>
    <row r="53" spans="1:16" x14ac:dyDescent="0.3">
      <c r="B53" s="18"/>
      <c r="C53" s="20" t="s">
        <v>11</v>
      </c>
      <c r="D53" s="25" t="str">
        <f t="shared" si="24"/>
        <v>Agr</v>
      </c>
      <c r="E53" s="33">
        <v>0</v>
      </c>
      <c r="F53" s="36">
        <f t="shared" si="20"/>
        <v>1</v>
      </c>
      <c r="G53" s="5">
        <v>15</v>
      </c>
      <c r="H53" s="7">
        <f t="shared" si="21"/>
        <v>15</v>
      </c>
      <c r="I53" s="18"/>
      <c r="J53" s="20" t="s">
        <v>11</v>
      </c>
      <c r="K53" s="25" t="str">
        <f t="shared" si="25"/>
        <v>Agr</v>
      </c>
      <c r="L53" s="33">
        <v>0</v>
      </c>
      <c r="M53" s="36">
        <f t="shared" si="22"/>
        <v>1</v>
      </c>
      <c r="N53" s="5">
        <v>79</v>
      </c>
      <c r="O53" s="7">
        <f t="shared" si="23"/>
        <v>79</v>
      </c>
      <c r="P53" s="18"/>
    </row>
    <row r="54" spans="1:16" x14ac:dyDescent="0.3">
      <c r="B54" s="18"/>
      <c r="C54" s="20" t="s">
        <v>11</v>
      </c>
      <c r="D54" s="25" t="str">
        <f t="shared" si="24"/>
        <v>Ind</v>
      </c>
      <c r="E54" s="33">
        <v>0</v>
      </c>
      <c r="F54" s="36">
        <f t="shared" si="20"/>
        <v>1</v>
      </c>
      <c r="G54" s="5">
        <v>28</v>
      </c>
      <c r="H54" s="7">
        <f t="shared" si="21"/>
        <v>28</v>
      </c>
      <c r="I54" s="18"/>
      <c r="J54" s="20" t="s">
        <v>11</v>
      </c>
      <c r="K54" s="25" t="str">
        <f t="shared" si="25"/>
        <v>Ind</v>
      </c>
      <c r="L54" s="33">
        <v>0</v>
      </c>
      <c r="M54" s="36">
        <f t="shared" si="22"/>
        <v>1</v>
      </c>
      <c r="N54" s="5">
        <v>65</v>
      </c>
      <c r="O54" s="7">
        <f t="shared" si="23"/>
        <v>65</v>
      </c>
      <c r="P54" s="18"/>
    </row>
    <row r="55" spans="1:16" x14ac:dyDescent="0.3">
      <c r="B55" s="18"/>
      <c r="C55" s="20" t="s">
        <v>11</v>
      </c>
      <c r="D55" s="25" t="str">
        <f t="shared" si="24"/>
        <v>Serv</v>
      </c>
      <c r="E55" s="34">
        <v>0</v>
      </c>
      <c r="F55" s="37">
        <f t="shared" si="20"/>
        <v>1</v>
      </c>
      <c r="G55" s="9">
        <v>24</v>
      </c>
      <c r="H55" s="11">
        <f t="shared" si="21"/>
        <v>24</v>
      </c>
      <c r="I55" s="18"/>
      <c r="J55" s="20" t="s">
        <v>11</v>
      </c>
      <c r="K55" s="25" t="str">
        <f t="shared" si="25"/>
        <v>Serv</v>
      </c>
      <c r="L55" s="34">
        <v>0</v>
      </c>
      <c r="M55" s="37">
        <f t="shared" si="22"/>
        <v>1</v>
      </c>
      <c r="N55" s="9">
        <v>60</v>
      </c>
      <c r="O55" s="11">
        <f t="shared" si="23"/>
        <v>60</v>
      </c>
      <c r="P55" s="18"/>
    </row>
    <row r="56" spans="1:16" x14ac:dyDescent="0.3">
      <c r="G56" s="13">
        <f t="shared" ref="G56:H56" si="26">SUM(G47:G55)</f>
        <v>148</v>
      </c>
      <c r="H56" s="15">
        <f t="shared" si="26"/>
        <v>148</v>
      </c>
      <c r="N56" s="13">
        <f t="shared" ref="N56" si="27">SUM(N47:N55)</f>
        <v>564</v>
      </c>
      <c r="O56" s="15">
        <f t="shared" ref="O56" si="28">SUM(O47:O55)</f>
        <v>549.79999999999995</v>
      </c>
      <c r="P56" s="99">
        <f>+O56/N56-1</f>
        <v>-2.5177304964539071E-2</v>
      </c>
    </row>
    <row r="57" spans="1:16" x14ac:dyDescent="0.3">
      <c r="H57" s="18">
        <f>+H56-G56</f>
        <v>0</v>
      </c>
      <c r="O57" s="18">
        <f>+O56-N56</f>
        <v>-14.200000000000045</v>
      </c>
    </row>
    <row r="58" spans="1:16" x14ac:dyDescent="0.3">
      <c r="A58" s="66"/>
    </row>
    <row r="59" spans="1:16" x14ac:dyDescent="0.3">
      <c r="A59" s="68" t="s">
        <v>30</v>
      </c>
      <c r="E59" s="20" t="s">
        <v>20</v>
      </c>
      <c r="F59" s="20" t="str" cm="1">
        <f t="array" ref="F59:F68">+O46:O55</f>
        <v>x_max</v>
      </c>
      <c r="G59" s="20" t="s">
        <v>3</v>
      </c>
    </row>
    <row r="60" spans="1:16" x14ac:dyDescent="0.3">
      <c r="A60" s="67"/>
      <c r="C60" s="20" t="s">
        <v>1</v>
      </c>
      <c r="D60" s="28" t="s">
        <v>51</v>
      </c>
      <c r="E60" s="4" cm="1">
        <f t="array" ref="E60:E68">+MMULT(_xlfn.ANCHORARRAY(E36),H47:H55)</f>
        <v>71</v>
      </c>
      <c r="F60" s="4">
        <v>56.800000000000004</v>
      </c>
      <c r="G60" s="40">
        <f>+MIN(F60/E60,1)</f>
        <v>0.8</v>
      </c>
      <c r="H60" s="18"/>
      <c r="I60" s="18"/>
    </row>
    <row r="61" spans="1:16" x14ac:dyDescent="0.3">
      <c r="C61" s="20" t="s">
        <v>1</v>
      </c>
      <c r="D61" s="25" t="s">
        <v>52</v>
      </c>
      <c r="E61" s="8">
        <v>55.000000000000007</v>
      </c>
      <c r="F61" s="8">
        <v>55</v>
      </c>
      <c r="G61" s="41">
        <f t="shared" ref="G61:G68" si="29">+MIN(F61/E61,1)</f>
        <v>0.99999999999999989</v>
      </c>
      <c r="H61" s="18"/>
      <c r="I61" s="18"/>
    </row>
    <row r="62" spans="1:16" x14ac:dyDescent="0.3">
      <c r="C62" s="20" t="s">
        <v>1</v>
      </c>
      <c r="D62" s="25" t="s">
        <v>53</v>
      </c>
      <c r="E62" s="8">
        <v>47.000000000000014</v>
      </c>
      <c r="F62" s="8">
        <v>47</v>
      </c>
      <c r="G62" s="41">
        <f t="shared" si="29"/>
        <v>0.99999999999999967</v>
      </c>
      <c r="H62" s="18"/>
      <c r="I62" s="18"/>
    </row>
    <row r="63" spans="1:16" x14ac:dyDescent="0.3">
      <c r="C63" s="20" t="s">
        <v>10</v>
      </c>
      <c r="D63" s="25" t="str">
        <f>+D60</f>
        <v>Agr</v>
      </c>
      <c r="E63" s="8">
        <v>82</v>
      </c>
      <c r="F63" s="8">
        <v>82</v>
      </c>
      <c r="G63" s="41">
        <f t="shared" si="29"/>
        <v>1</v>
      </c>
      <c r="H63" s="18"/>
      <c r="I63" s="18"/>
    </row>
    <row r="64" spans="1:16" x14ac:dyDescent="0.3">
      <c r="C64" s="20" t="s">
        <v>10</v>
      </c>
      <c r="D64" s="25" t="str">
        <f t="shared" ref="D64:D68" si="30">+D61</f>
        <v>Ind</v>
      </c>
      <c r="E64" s="8">
        <v>50</v>
      </c>
      <c r="F64" s="8">
        <v>50</v>
      </c>
      <c r="G64" s="41">
        <f t="shared" si="29"/>
        <v>1</v>
      </c>
      <c r="H64" s="18"/>
      <c r="I64" s="18"/>
    </row>
    <row r="65" spans="1:22" x14ac:dyDescent="0.3">
      <c r="C65" s="20" t="s">
        <v>10</v>
      </c>
      <c r="D65" s="25" t="str">
        <f t="shared" si="30"/>
        <v>Serv</v>
      </c>
      <c r="E65" s="8">
        <v>55</v>
      </c>
      <c r="F65" s="8">
        <v>55</v>
      </c>
      <c r="G65" s="41">
        <f t="shared" si="29"/>
        <v>1</v>
      </c>
      <c r="H65" s="18"/>
      <c r="I65" s="18"/>
    </row>
    <row r="66" spans="1:22" x14ac:dyDescent="0.3">
      <c r="C66" s="20" t="s">
        <v>11</v>
      </c>
      <c r="D66" s="25" t="str">
        <f t="shared" si="30"/>
        <v>Agr</v>
      </c>
      <c r="E66" s="8">
        <v>79.000000000000014</v>
      </c>
      <c r="F66" s="8">
        <v>79</v>
      </c>
      <c r="G66" s="41">
        <f t="shared" si="29"/>
        <v>0.99999999999999978</v>
      </c>
      <c r="H66" s="18"/>
      <c r="I66" s="18"/>
    </row>
    <row r="67" spans="1:22" x14ac:dyDescent="0.3">
      <c r="C67" s="20" t="s">
        <v>11</v>
      </c>
      <c r="D67" s="25" t="str">
        <f t="shared" si="30"/>
        <v>Ind</v>
      </c>
      <c r="E67" s="8">
        <v>65</v>
      </c>
      <c r="F67" s="8">
        <v>65</v>
      </c>
      <c r="G67" s="41">
        <f t="shared" si="29"/>
        <v>1</v>
      </c>
      <c r="H67" s="18"/>
      <c r="I67" s="18"/>
    </row>
    <row r="68" spans="1:22" x14ac:dyDescent="0.3">
      <c r="C68" s="20" t="s">
        <v>11</v>
      </c>
      <c r="D68" s="25" t="str">
        <f t="shared" si="30"/>
        <v>Serv</v>
      </c>
      <c r="E68" s="12">
        <v>60.000000000000021</v>
      </c>
      <c r="F68" s="12">
        <v>60</v>
      </c>
      <c r="G68" s="42">
        <f t="shared" si="29"/>
        <v>0.99999999999999967</v>
      </c>
      <c r="H68" s="18"/>
      <c r="I68" s="18"/>
    </row>
    <row r="69" spans="1:22" x14ac:dyDescent="0.3">
      <c r="A69" s="66"/>
    </row>
    <row r="70" spans="1:22" x14ac:dyDescent="0.3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22" x14ac:dyDescent="0.3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22" x14ac:dyDescent="0.3">
      <c r="C72" t="s">
        <v>25</v>
      </c>
      <c r="D72" s="20" t="s">
        <v>4</v>
      </c>
      <c r="E72" s="43" cm="1">
        <f t="array" ref="E72">+MIN(_xlfn._xlws.FILTER($G$60:$G$68,E21:E29&gt;0))</f>
        <v>0.8</v>
      </c>
      <c r="F72" s="44" cm="1">
        <f t="array" ref="F72">+MIN(_xlfn._xlws.FILTER($G$60:$G$68,F21:F29&gt;0))</f>
        <v>0.8</v>
      </c>
      <c r="G72" s="44" cm="1">
        <f t="array" ref="G72">+MIN(_xlfn._xlws.FILTER($G$60:$G$68,G21:G29&gt;0))</f>
        <v>0.8</v>
      </c>
      <c r="H72" s="44" cm="1">
        <f t="array" ref="H72">+MIN(_xlfn._xlws.FILTER($G$60:$G$68,H21:H29&gt;0))</f>
        <v>0.8</v>
      </c>
      <c r="I72" s="44" cm="1">
        <f t="array" ref="I72">+MIN(_xlfn._xlws.FILTER($G$60:$G$68,I21:I29&gt;0))</f>
        <v>0.99999999999999967</v>
      </c>
      <c r="J72" s="44" cm="1">
        <f t="array" ref="J72">+MIN(_xlfn._xlws.FILTER($G$60:$G$68,J21:J29&gt;0))</f>
        <v>0.8</v>
      </c>
      <c r="K72" s="44" cm="1">
        <f t="array" ref="K72">+MIN(_xlfn._xlws.FILTER($G$60:$G$68,K21:K29&gt;0))</f>
        <v>0.8</v>
      </c>
      <c r="L72" s="44" cm="1">
        <f t="array" ref="L72">+MIN(_xlfn._xlws.FILTER($G$60:$G$68,L21:L29&gt;0))</f>
        <v>0.8</v>
      </c>
      <c r="M72" s="45" cm="1">
        <f t="array" ref="M72">+MIN(_xlfn._xlws.FILTER($G$60:$G$68,M21:M29&gt;0))</f>
        <v>0.8</v>
      </c>
    </row>
    <row r="73" spans="1:22" ht="15" thickBot="1" x14ac:dyDescent="0.35">
      <c r="C73" t="s">
        <v>26</v>
      </c>
      <c r="D73" s="49" t="s">
        <v>18</v>
      </c>
      <c r="E73" s="50" cm="1">
        <f t="array" ref="E73:M73">+TRANSPOSE(M47:M55)</f>
        <v>0.8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22" x14ac:dyDescent="0.3">
      <c r="D74" s="22" t="s">
        <v>22</v>
      </c>
      <c r="E74" s="46">
        <f>+MIN(E72:E73)</f>
        <v>0.8</v>
      </c>
      <c r="F74" s="47">
        <f t="shared" ref="F74:M74" si="31">+MIN(F72:F73)</f>
        <v>0.8</v>
      </c>
      <c r="G74" s="47">
        <f t="shared" si="31"/>
        <v>0.8</v>
      </c>
      <c r="H74" s="47">
        <f t="shared" si="31"/>
        <v>0.8</v>
      </c>
      <c r="I74" s="47">
        <f t="shared" si="31"/>
        <v>0.99999999999999967</v>
      </c>
      <c r="J74" s="47">
        <f t="shared" si="31"/>
        <v>0.8</v>
      </c>
      <c r="K74" s="47">
        <f t="shared" si="31"/>
        <v>0.8</v>
      </c>
      <c r="L74" s="47">
        <f t="shared" si="31"/>
        <v>0.8</v>
      </c>
      <c r="M74" s="48">
        <f t="shared" si="31"/>
        <v>0.8</v>
      </c>
    </row>
    <row r="75" spans="1:22" x14ac:dyDescent="0.3">
      <c r="A75" s="66"/>
    </row>
    <row r="76" spans="1:22" ht="15" thickBot="1" x14ac:dyDescent="0.35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22" ht="15" thickBot="1" x14ac:dyDescent="0.35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22" x14ac:dyDescent="0.3">
      <c r="B78" s="63" cm="1">
        <f t="array" ref="B78:B86">+TRANSPOSE(E74:M74)</f>
        <v>0.8</v>
      </c>
      <c r="C78" s="20" t="s">
        <v>1</v>
      </c>
      <c r="D78" s="28" t="s">
        <v>51</v>
      </c>
      <c r="E78" s="1">
        <f>+E5*$B78</f>
        <v>8</v>
      </c>
      <c r="F78" s="2">
        <f t="shared" ref="F78:M78" si="32">+F5*$B78</f>
        <v>4</v>
      </c>
      <c r="G78" s="2">
        <f t="shared" si="32"/>
        <v>8</v>
      </c>
      <c r="H78" s="2">
        <f t="shared" si="32"/>
        <v>0.8</v>
      </c>
      <c r="I78" s="2">
        <f t="shared" si="32"/>
        <v>0</v>
      </c>
      <c r="J78" s="2">
        <f t="shared" si="32"/>
        <v>6.4</v>
      </c>
      <c r="K78" s="2">
        <f t="shared" si="32"/>
        <v>2.4000000000000004</v>
      </c>
      <c r="L78" s="2">
        <f t="shared" si="32"/>
        <v>5.6000000000000005</v>
      </c>
      <c r="M78" s="3">
        <f t="shared" si="32"/>
        <v>1.6</v>
      </c>
      <c r="N78" s="18"/>
      <c r="O78" s="18"/>
      <c r="P78" s="18"/>
      <c r="Q78" s="18"/>
      <c r="R78" s="18"/>
      <c r="S78" s="18"/>
      <c r="T78" s="18"/>
      <c r="U78" s="18"/>
      <c r="V78" s="18"/>
    </row>
    <row r="79" spans="1:22" x14ac:dyDescent="0.3">
      <c r="B79" s="30">
        <v>0.8</v>
      </c>
      <c r="C79" s="20" t="s">
        <v>1</v>
      </c>
      <c r="D79" s="25" t="s">
        <v>52</v>
      </c>
      <c r="E79" s="5">
        <f t="shared" ref="E79:M79" si="33">+E6*$B79</f>
        <v>6.4</v>
      </c>
      <c r="F79" s="6">
        <f t="shared" si="33"/>
        <v>2.4000000000000004</v>
      </c>
      <c r="G79" s="6">
        <f t="shared" si="33"/>
        <v>7.2</v>
      </c>
      <c r="H79" s="6">
        <f t="shared" si="33"/>
        <v>3.2</v>
      </c>
      <c r="I79" s="6">
        <f t="shared" si="33"/>
        <v>1.6</v>
      </c>
      <c r="J79" s="6">
        <f t="shared" si="33"/>
        <v>8</v>
      </c>
      <c r="K79" s="6">
        <f t="shared" si="33"/>
        <v>0.8</v>
      </c>
      <c r="L79" s="6">
        <f t="shared" si="33"/>
        <v>3.2</v>
      </c>
      <c r="M79" s="7">
        <f t="shared" si="33"/>
        <v>5.6000000000000005</v>
      </c>
      <c r="N79" s="18"/>
      <c r="O79" s="18"/>
      <c r="P79" s="18"/>
      <c r="Q79" s="18"/>
      <c r="R79" s="18"/>
      <c r="S79" s="18"/>
      <c r="T79" s="18"/>
      <c r="U79" s="18"/>
      <c r="V79" s="18"/>
    </row>
    <row r="80" spans="1:22" x14ac:dyDescent="0.3">
      <c r="B80" s="30">
        <v>0.8</v>
      </c>
      <c r="C80" s="20" t="s">
        <v>1</v>
      </c>
      <c r="D80" s="25" t="s">
        <v>53</v>
      </c>
      <c r="E80" s="5">
        <f t="shared" ref="E80:M80" si="34">+E7*$B80</f>
        <v>0</v>
      </c>
      <c r="F80" s="6">
        <f t="shared" si="34"/>
        <v>0</v>
      </c>
      <c r="G80" s="6">
        <f t="shared" si="34"/>
        <v>0</v>
      </c>
      <c r="H80" s="6">
        <f t="shared" si="34"/>
        <v>5.6000000000000005</v>
      </c>
      <c r="I80" s="6">
        <f t="shared" si="34"/>
        <v>3.2</v>
      </c>
      <c r="J80" s="6">
        <f t="shared" si="34"/>
        <v>3.2</v>
      </c>
      <c r="K80" s="6">
        <f t="shared" si="34"/>
        <v>5.6000000000000005</v>
      </c>
      <c r="L80" s="6">
        <f t="shared" si="34"/>
        <v>3.2</v>
      </c>
      <c r="M80" s="7">
        <f t="shared" si="34"/>
        <v>5.6000000000000005</v>
      </c>
      <c r="N80" s="18"/>
      <c r="O80" s="18"/>
      <c r="P80" s="18"/>
      <c r="Q80" s="18"/>
      <c r="R80" s="18"/>
      <c r="S80" s="18"/>
      <c r="T80" s="18"/>
      <c r="U80" s="18"/>
      <c r="V80" s="18"/>
    </row>
    <row r="81" spans="1:22" x14ac:dyDescent="0.3">
      <c r="B81" s="30">
        <v>0.8</v>
      </c>
      <c r="C81" s="20" t="s">
        <v>10</v>
      </c>
      <c r="D81" s="25" t="str">
        <f>+D78</f>
        <v>Agr</v>
      </c>
      <c r="E81" s="5">
        <f t="shared" ref="E81:M81" si="35">+E8*$B81</f>
        <v>7.2</v>
      </c>
      <c r="F81" s="6">
        <f t="shared" si="35"/>
        <v>4</v>
      </c>
      <c r="G81" s="6">
        <f t="shared" si="35"/>
        <v>3.2</v>
      </c>
      <c r="H81" s="6">
        <f t="shared" si="35"/>
        <v>5.6000000000000005</v>
      </c>
      <c r="I81" s="6">
        <f t="shared" si="35"/>
        <v>8</v>
      </c>
      <c r="J81" s="6">
        <f t="shared" si="35"/>
        <v>7.2</v>
      </c>
      <c r="K81" s="6">
        <f t="shared" si="35"/>
        <v>8</v>
      </c>
      <c r="L81" s="6">
        <f t="shared" si="35"/>
        <v>7.2</v>
      </c>
      <c r="M81" s="7">
        <f t="shared" si="35"/>
        <v>7.2</v>
      </c>
      <c r="N81" s="18"/>
      <c r="O81" s="18"/>
      <c r="P81" s="18"/>
      <c r="Q81" s="18"/>
      <c r="R81" s="18"/>
      <c r="S81" s="18"/>
      <c r="T81" s="18"/>
      <c r="U81" s="18"/>
      <c r="V81" s="18"/>
    </row>
    <row r="82" spans="1:22" x14ac:dyDescent="0.3">
      <c r="B82" s="30">
        <v>0.99999999999999967</v>
      </c>
      <c r="C82" s="20" t="s">
        <v>10</v>
      </c>
      <c r="D82" s="25" t="str">
        <f t="shared" ref="D82:D86" si="36">+D79</f>
        <v>Ind</v>
      </c>
      <c r="E82" s="5">
        <f t="shared" ref="E82:M82" si="37">+E9*$B82</f>
        <v>3.9999999999999987</v>
      </c>
      <c r="F82" s="6">
        <f t="shared" si="37"/>
        <v>1.9999999999999993</v>
      </c>
      <c r="G82" s="6">
        <f t="shared" si="37"/>
        <v>2.9999999999999991</v>
      </c>
      <c r="H82" s="6">
        <f t="shared" si="37"/>
        <v>5.9999999999999982</v>
      </c>
      <c r="I82" s="6">
        <f t="shared" si="37"/>
        <v>6.9999999999999973</v>
      </c>
      <c r="J82" s="6">
        <f t="shared" si="37"/>
        <v>3.9999999999999987</v>
      </c>
      <c r="K82" s="6">
        <f t="shared" si="37"/>
        <v>8.9999999999999964</v>
      </c>
      <c r="L82" s="6">
        <f t="shared" si="37"/>
        <v>1.9999999999999993</v>
      </c>
      <c r="M82" s="7">
        <f t="shared" si="37"/>
        <v>7.9999999999999973</v>
      </c>
      <c r="N82" s="18"/>
      <c r="O82" s="18"/>
      <c r="P82" s="18"/>
      <c r="Q82" s="18"/>
      <c r="R82" s="18"/>
      <c r="S82" s="18"/>
      <c r="T82" s="18"/>
      <c r="U82" s="18"/>
      <c r="V82" s="18"/>
    </row>
    <row r="83" spans="1:22" x14ac:dyDescent="0.3">
      <c r="B83" s="30">
        <v>0.8</v>
      </c>
      <c r="C83" s="20" t="s">
        <v>10</v>
      </c>
      <c r="D83" s="25" t="str">
        <f t="shared" si="36"/>
        <v>Serv</v>
      </c>
      <c r="E83" s="5">
        <f t="shared" ref="E83:M83" si="38">+E10*$B83</f>
        <v>4.8000000000000007</v>
      </c>
      <c r="F83" s="6">
        <f t="shared" si="38"/>
        <v>4</v>
      </c>
      <c r="G83" s="6">
        <f t="shared" si="38"/>
        <v>3.2</v>
      </c>
      <c r="H83" s="6">
        <f t="shared" si="38"/>
        <v>0.8</v>
      </c>
      <c r="I83" s="6">
        <f t="shared" si="38"/>
        <v>7.2</v>
      </c>
      <c r="J83" s="6">
        <f t="shared" si="38"/>
        <v>1.6</v>
      </c>
      <c r="K83" s="6">
        <f t="shared" si="38"/>
        <v>0.8</v>
      </c>
      <c r="L83" s="6">
        <f t="shared" si="38"/>
        <v>4.8000000000000007</v>
      </c>
      <c r="M83" s="7">
        <f t="shared" si="38"/>
        <v>0.8</v>
      </c>
      <c r="N83" s="18"/>
      <c r="O83" s="18"/>
      <c r="P83" s="18"/>
      <c r="Q83" s="18"/>
      <c r="R83" s="18"/>
      <c r="S83" s="18"/>
      <c r="T83" s="18"/>
      <c r="U83" s="18"/>
      <c r="V83" s="18"/>
    </row>
    <row r="84" spans="1:22" x14ac:dyDescent="0.3">
      <c r="B84" s="30">
        <v>0.8</v>
      </c>
      <c r="C84" s="20" t="s">
        <v>11</v>
      </c>
      <c r="D84" s="25" t="str">
        <f t="shared" si="36"/>
        <v>Agr</v>
      </c>
      <c r="E84" s="5">
        <f t="shared" ref="E84:M84" si="39">+E11*$B84</f>
        <v>2.4000000000000004</v>
      </c>
      <c r="F84" s="6">
        <f t="shared" si="39"/>
        <v>8</v>
      </c>
      <c r="G84" s="6">
        <f t="shared" si="39"/>
        <v>6.4</v>
      </c>
      <c r="H84" s="6">
        <f t="shared" si="39"/>
        <v>7.2</v>
      </c>
      <c r="I84" s="6">
        <f t="shared" si="39"/>
        <v>8</v>
      </c>
      <c r="J84" s="6">
        <f t="shared" si="39"/>
        <v>0</v>
      </c>
      <c r="K84" s="6">
        <f t="shared" si="39"/>
        <v>5.6000000000000005</v>
      </c>
      <c r="L84" s="6">
        <f t="shared" si="39"/>
        <v>7.2</v>
      </c>
      <c r="M84" s="7">
        <f t="shared" si="39"/>
        <v>6.4</v>
      </c>
      <c r="N84" s="18"/>
      <c r="O84" s="18"/>
      <c r="P84" s="18"/>
      <c r="Q84" s="18"/>
      <c r="R84" s="18"/>
      <c r="S84" s="18"/>
      <c r="T84" s="18"/>
      <c r="U84" s="18"/>
      <c r="V84" s="18"/>
    </row>
    <row r="85" spans="1:22" x14ac:dyDescent="0.3">
      <c r="B85" s="30">
        <v>0.8</v>
      </c>
      <c r="C85" s="20" t="s">
        <v>11</v>
      </c>
      <c r="D85" s="25" t="str">
        <f t="shared" si="36"/>
        <v>Ind</v>
      </c>
      <c r="E85" s="5">
        <f t="shared" ref="E85:M85" si="40">+E12*$B85</f>
        <v>0.8</v>
      </c>
      <c r="F85" s="6">
        <f t="shared" si="40"/>
        <v>6.4</v>
      </c>
      <c r="G85" s="6">
        <f t="shared" si="40"/>
        <v>0</v>
      </c>
      <c r="H85" s="6">
        <f t="shared" si="40"/>
        <v>7.2</v>
      </c>
      <c r="I85" s="6">
        <f t="shared" si="40"/>
        <v>0</v>
      </c>
      <c r="J85" s="6">
        <f t="shared" si="40"/>
        <v>0</v>
      </c>
      <c r="K85" s="6">
        <f t="shared" si="40"/>
        <v>6.4</v>
      </c>
      <c r="L85" s="6">
        <f t="shared" si="40"/>
        <v>8</v>
      </c>
      <c r="M85" s="7">
        <f t="shared" si="40"/>
        <v>0.8</v>
      </c>
      <c r="N85" s="18"/>
      <c r="O85" s="18"/>
      <c r="P85" s="18"/>
      <c r="Q85" s="18"/>
      <c r="R85" s="18"/>
      <c r="S85" s="18"/>
      <c r="T85" s="18"/>
      <c r="U85" s="18"/>
      <c r="V85" s="18"/>
    </row>
    <row r="86" spans="1:22" x14ac:dyDescent="0.3">
      <c r="B86" s="31">
        <v>0.8</v>
      </c>
      <c r="C86" s="20" t="s">
        <v>11</v>
      </c>
      <c r="D86" s="25" t="str">
        <f t="shared" si="36"/>
        <v>Serv</v>
      </c>
      <c r="E86" s="9">
        <f t="shared" ref="E86:M86" si="41">+E13*$B86</f>
        <v>8</v>
      </c>
      <c r="F86" s="10">
        <f t="shared" si="41"/>
        <v>1.6</v>
      </c>
      <c r="G86" s="10">
        <f t="shared" si="41"/>
        <v>3.2</v>
      </c>
      <c r="H86" s="10">
        <f t="shared" si="41"/>
        <v>8</v>
      </c>
      <c r="I86" s="10">
        <f t="shared" si="41"/>
        <v>0</v>
      </c>
      <c r="J86" s="10">
        <f t="shared" si="41"/>
        <v>0</v>
      </c>
      <c r="K86" s="10">
        <f t="shared" si="41"/>
        <v>2.4000000000000004</v>
      </c>
      <c r="L86" s="10">
        <f t="shared" si="41"/>
        <v>0</v>
      </c>
      <c r="M86" s="11">
        <f t="shared" si="41"/>
        <v>5.6000000000000005</v>
      </c>
      <c r="N86" s="18"/>
      <c r="O86" s="18"/>
      <c r="P86" s="18"/>
      <c r="Q86" s="18"/>
      <c r="R86" s="18"/>
      <c r="S86" s="18"/>
      <c r="T86" s="18"/>
      <c r="U86" s="18"/>
      <c r="V86" s="18"/>
    </row>
    <row r="87" spans="1:22" x14ac:dyDescent="0.3">
      <c r="N87" s="19">
        <f>+SUM(E78:M86)</f>
        <v>341.79999999999995</v>
      </c>
      <c r="O87" s="99">
        <f>+N87/N14-1</f>
        <v>-0.17836538461538476</v>
      </c>
    </row>
    <row r="88" spans="1:22" x14ac:dyDescent="0.3">
      <c r="D88" s="20" t="str" cm="1">
        <f t="array" ref="D88:M89">+TRANSPOSE(E59:F68)</f>
        <v>x_md</v>
      </c>
      <c r="E88" s="43">
        <v>71</v>
      </c>
      <c r="F88" s="44">
        <v>55.000000000000007</v>
      </c>
      <c r="G88" s="44">
        <v>47.000000000000014</v>
      </c>
      <c r="H88" s="44">
        <v>82</v>
      </c>
      <c r="I88" s="44">
        <v>50</v>
      </c>
      <c r="J88" s="44">
        <v>55</v>
      </c>
      <c r="K88" s="44">
        <v>79.000000000000014</v>
      </c>
      <c r="L88" s="44">
        <v>65</v>
      </c>
      <c r="M88" s="45">
        <v>60.000000000000021</v>
      </c>
      <c r="O88" s="19">
        <f>+SUM(E88:M88)</f>
        <v>564</v>
      </c>
    </row>
    <row r="89" spans="1:22" ht="15" thickBot="1" x14ac:dyDescent="0.35">
      <c r="D89" s="49" t="str">
        <v>x_max</v>
      </c>
      <c r="E89" s="50">
        <v>56.800000000000004</v>
      </c>
      <c r="F89" s="51">
        <v>55</v>
      </c>
      <c r="G89" s="51">
        <v>47</v>
      </c>
      <c r="H89" s="51">
        <v>82</v>
      </c>
      <c r="I89" s="51">
        <v>50</v>
      </c>
      <c r="J89" s="51">
        <v>55</v>
      </c>
      <c r="K89" s="51">
        <v>79</v>
      </c>
      <c r="L89" s="51">
        <v>65</v>
      </c>
      <c r="M89" s="52">
        <v>60</v>
      </c>
    </row>
    <row r="90" spans="1:22" x14ac:dyDescent="0.3">
      <c r="D90" s="22" t="s">
        <v>60</v>
      </c>
      <c r="E90" s="46">
        <f>+MIN(E88:E89)</f>
        <v>56.800000000000004</v>
      </c>
      <c r="F90" s="47">
        <f t="shared" ref="F90:M90" si="42">+MIN(F88:F89)</f>
        <v>55</v>
      </c>
      <c r="G90" s="47">
        <f t="shared" si="42"/>
        <v>47</v>
      </c>
      <c r="H90" s="47">
        <f t="shared" si="42"/>
        <v>82</v>
      </c>
      <c r="I90" s="47">
        <f t="shared" si="42"/>
        <v>50</v>
      </c>
      <c r="J90" s="47">
        <f t="shared" si="42"/>
        <v>55</v>
      </c>
      <c r="K90" s="47">
        <f t="shared" si="42"/>
        <v>79</v>
      </c>
      <c r="L90" s="47">
        <f t="shared" si="42"/>
        <v>65</v>
      </c>
      <c r="M90" s="48">
        <f t="shared" si="42"/>
        <v>60</v>
      </c>
      <c r="N90" s="19">
        <f>+SUM(E90:M90)</f>
        <v>549.79999999999995</v>
      </c>
    </row>
    <row r="91" spans="1:22" x14ac:dyDescent="0.3">
      <c r="A91" s="66"/>
    </row>
    <row r="92" spans="1:22" ht="15" thickBot="1" x14ac:dyDescent="0.35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22" ht="72.599999999999994" thickBot="1" x14ac:dyDescent="0.35">
      <c r="A93" s="67"/>
      <c r="C93" s="98" t="s">
        <v>54</v>
      </c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22" x14ac:dyDescent="0.3">
      <c r="C94" s="20" t="s">
        <v>1</v>
      </c>
      <c r="D94" s="28" t="s">
        <v>51</v>
      </c>
      <c r="E94" s="1">
        <f>+E21*E$88</f>
        <v>10</v>
      </c>
      <c r="F94" s="2">
        <f t="shared" ref="F94:M94" si="43">+F21*F$88</f>
        <v>5.0000000000000009</v>
      </c>
      <c r="G94" s="2">
        <f t="shared" si="43"/>
        <v>10.000000000000004</v>
      </c>
      <c r="H94" s="2">
        <f t="shared" si="43"/>
        <v>1</v>
      </c>
      <c r="I94" s="2">
        <f t="shared" si="43"/>
        <v>0</v>
      </c>
      <c r="J94" s="2">
        <f t="shared" si="43"/>
        <v>8</v>
      </c>
      <c r="K94" s="2">
        <f t="shared" si="43"/>
        <v>3.0000000000000004</v>
      </c>
      <c r="L94" s="2">
        <f t="shared" si="43"/>
        <v>7</v>
      </c>
      <c r="M94" s="3">
        <f t="shared" si="43"/>
        <v>2.0000000000000009</v>
      </c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3">
      <c r="C95" s="20" t="s">
        <v>1</v>
      </c>
      <c r="D95" s="25" t="s">
        <v>52</v>
      </c>
      <c r="E95" s="5">
        <f t="shared" ref="E95:M95" si="44">+E22*E$88</f>
        <v>8</v>
      </c>
      <c r="F95" s="6">
        <f t="shared" si="44"/>
        <v>3.0000000000000004</v>
      </c>
      <c r="G95" s="6">
        <f t="shared" si="44"/>
        <v>9.0000000000000036</v>
      </c>
      <c r="H95" s="6">
        <f t="shared" si="44"/>
        <v>4</v>
      </c>
      <c r="I95" s="6">
        <f t="shared" si="44"/>
        <v>2</v>
      </c>
      <c r="J95" s="6">
        <f t="shared" si="44"/>
        <v>10</v>
      </c>
      <c r="K95" s="6">
        <f t="shared" si="44"/>
        <v>1.0000000000000002</v>
      </c>
      <c r="L95" s="6">
        <f t="shared" si="44"/>
        <v>4</v>
      </c>
      <c r="M95" s="7">
        <f t="shared" si="44"/>
        <v>7.0000000000000027</v>
      </c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3">
      <c r="C96" s="20" t="s">
        <v>1</v>
      </c>
      <c r="D96" s="25" t="s">
        <v>53</v>
      </c>
      <c r="E96" s="5">
        <f t="shared" ref="E96:M96" si="45">+E23*E$88</f>
        <v>0</v>
      </c>
      <c r="F96" s="6">
        <f t="shared" si="45"/>
        <v>0</v>
      </c>
      <c r="G96" s="6">
        <f t="shared" si="45"/>
        <v>0</v>
      </c>
      <c r="H96" s="6">
        <f t="shared" si="45"/>
        <v>7.0000000000000009</v>
      </c>
      <c r="I96" s="6">
        <f t="shared" si="45"/>
        <v>4</v>
      </c>
      <c r="J96" s="6">
        <f t="shared" si="45"/>
        <v>4</v>
      </c>
      <c r="K96" s="6">
        <f t="shared" si="45"/>
        <v>7.0000000000000009</v>
      </c>
      <c r="L96" s="6">
        <f t="shared" si="45"/>
        <v>4</v>
      </c>
      <c r="M96" s="7">
        <f t="shared" si="45"/>
        <v>7.0000000000000027</v>
      </c>
      <c r="N96" s="19"/>
      <c r="O96" s="19"/>
      <c r="P96" s="19"/>
      <c r="Q96" s="19"/>
      <c r="R96" s="19"/>
      <c r="S96" s="19"/>
      <c r="T96" s="19"/>
      <c r="U96" s="19"/>
      <c r="V96" s="19"/>
    </row>
    <row r="97" spans="3:36" x14ac:dyDescent="0.3">
      <c r="C97" s="20" t="s">
        <v>10</v>
      </c>
      <c r="D97" s="25" t="str">
        <f>+D94</f>
        <v>Agr</v>
      </c>
      <c r="E97" s="5">
        <f t="shared" ref="E97:M97" si="46">+E24*E$88</f>
        <v>9</v>
      </c>
      <c r="F97" s="6">
        <f t="shared" si="46"/>
        <v>5.0000000000000009</v>
      </c>
      <c r="G97" s="6">
        <f t="shared" si="46"/>
        <v>4.0000000000000009</v>
      </c>
      <c r="H97" s="6">
        <f t="shared" si="46"/>
        <v>7.0000000000000009</v>
      </c>
      <c r="I97" s="6">
        <f t="shared" si="46"/>
        <v>10</v>
      </c>
      <c r="J97" s="6">
        <f t="shared" si="46"/>
        <v>9</v>
      </c>
      <c r="K97" s="6">
        <f t="shared" si="46"/>
        <v>10.000000000000002</v>
      </c>
      <c r="L97" s="6">
        <f t="shared" si="46"/>
        <v>9</v>
      </c>
      <c r="M97" s="7">
        <f t="shared" si="46"/>
        <v>9.0000000000000036</v>
      </c>
      <c r="N97" s="19"/>
      <c r="O97" s="19"/>
      <c r="P97" s="19"/>
      <c r="Q97" s="19"/>
      <c r="R97" s="19"/>
      <c r="S97" s="19"/>
      <c r="T97" s="19"/>
      <c r="U97" s="19"/>
      <c r="V97" s="19"/>
    </row>
    <row r="98" spans="3:36" x14ac:dyDescent="0.3">
      <c r="C98" s="20" t="s">
        <v>10</v>
      </c>
      <c r="D98" s="25" t="str">
        <f t="shared" ref="D98:D102" si="47">+D95</f>
        <v>Ind</v>
      </c>
      <c r="E98" s="5">
        <f t="shared" ref="E98:M98" si="48">+E25*E$88</f>
        <v>4</v>
      </c>
      <c r="F98" s="6">
        <f t="shared" si="48"/>
        <v>2</v>
      </c>
      <c r="G98" s="6">
        <f t="shared" si="48"/>
        <v>3.0000000000000009</v>
      </c>
      <c r="H98" s="6">
        <f t="shared" si="48"/>
        <v>6</v>
      </c>
      <c r="I98" s="6">
        <f t="shared" si="48"/>
        <v>7.0000000000000009</v>
      </c>
      <c r="J98" s="6">
        <f t="shared" si="48"/>
        <v>4</v>
      </c>
      <c r="K98" s="6">
        <f t="shared" si="48"/>
        <v>9.0000000000000018</v>
      </c>
      <c r="L98" s="6">
        <f t="shared" si="48"/>
        <v>2</v>
      </c>
      <c r="M98" s="7">
        <f t="shared" si="48"/>
        <v>8.0000000000000036</v>
      </c>
      <c r="N98" s="19"/>
      <c r="O98" s="19"/>
      <c r="P98" s="19"/>
      <c r="Q98" s="19"/>
      <c r="R98" s="19"/>
      <c r="S98" s="19"/>
      <c r="T98" s="19"/>
      <c r="U98" s="19"/>
      <c r="V98" s="19"/>
    </row>
    <row r="99" spans="3:36" x14ac:dyDescent="0.3">
      <c r="C99" s="20" t="s">
        <v>10</v>
      </c>
      <c r="D99" s="25" t="str">
        <f t="shared" si="47"/>
        <v>Serv</v>
      </c>
      <c r="E99" s="5">
        <f t="shared" ref="E99:M99" si="49">+E26*E$88</f>
        <v>6</v>
      </c>
      <c r="F99" s="6">
        <f t="shared" si="49"/>
        <v>5.0000000000000009</v>
      </c>
      <c r="G99" s="6">
        <f t="shared" si="49"/>
        <v>4.0000000000000009</v>
      </c>
      <c r="H99" s="6">
        <f t="shared" si="49"/>
        <v>1</v>
      </c>
      <c r="I99" s="6">
        <f t="shared" si="49"/>
        <v>9</v>
      </c>
      <c r="J99" s="6">
        <f t="shared" si="49"/>
        <v>2</v>
      </c>
      <c r="K99" s="6">
        <f t="shared" si="49"/>
        <v>1.0000000000000002</v>
      </c>
      <c r="L99" s="6">
        <f t="shared" si="49"/>
        <v>6</v>
      </c>
      <c r="M99" s="7">
        <f t="shared" si="49"/>
        <v>1.0000000000000004</v>
      </c>
      <c r="N99" s="19"/>
      <c r="O99" s="19"/>
      <c r="P99" s="19"/>
      <c r="Q99" s="19"/>
      <c r="R99" s="19"/>
      <c r="S99" s="19"/>
      <c r="T99" s="19"/>
      <c r="U99" s="19"/>
      <c r="V99" s="19"/>
    </row>
    <row r="100" spans="3:36" x14ac:dyDescent="0.3">
      <c r="C100" s="20" t="s">
        <v>11</v>
      </c>
      <c r="D100" s="25" t="str">
        <f t="shared" si="47"/>
        <v>Agr</v>
      </c>
      <c r="E100" s="5">
        <f t="shared" ref="E100:M100" si="50">+E27*E$88</f>
        <v>3</v>
      </c>
      <c r="F100" s="6">
        <f t="shared" si="50"/>
        <v>10.000000000000002</v>
      </c>
      <c r="G100" s="6">
        <f t="shared" si="50"/>
        <v>8.0000000000000018</v>
      </c>
      <c r="H100" s="6">
        <f t="shared" si="50"/>
        <v>9</v>
      </c>
      <c r="I100" s="6">
        <f t="shared" si="50"/>
        <v>10</v>
      </c>
      <c r="J100" s="6">
        <f t="shared" si="50"/>
        <v>0</v>
      </c>
      <c r="K100" s="6">
        <f t="shared" si="50"/>
        <v>7.0000000000000009</v>
      </c>
      <c r="L100" s="6">
        <f t="shared" si="50"/>
        <v>9</v>
      </c>
      <c r="M100" s="7">
        <f t="shared" si="50"/>
        <v>8.0000000000000036</v>
      </c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3:36" x14ac:dyDescent="0.3">
      <c r="C101" s="20" t="s">
        <v>11</v>
      </c>
      <c r="D101" s="25" t="str">
        <f t="shared" si="47"/>
        <v>Ind</v>
      </c>
      <c r="E101" s="5">
        <f t="shared" ref="E101:M101" si="51">+E28*E$88</f>
        <v>1</v>
      </c>
      <c r="F101" s="6">
        <f t="shared" si="51"/>
        <v>8</v>
      </c>
      <c r="G101" s="6">
        <f t="shared" si="51"/>
        <v>0</v>
      </c>
      <c r="H101" s="6">
        <f t="shared" si="51"/>
        <v>9</v>
      </c>
      <c r="I101" s="6">
        <f t="shared" si="51"/>
        <v>0</v>
      </c>
      <c r="J101" s="6">
        <f t="shared" si="51"/>
        <v>0</v>
      </c>
      <c r="K101" s="6">
        <f t="shared" si="51"/>
        <v>8.0000000000000018</v>
      </c>
      <c r="L101" s="6">
        <f t="shared" si="51"/>
        <v>10</v>
      </c>
      <c r="M101" s="7">
        <f t="shared" si="51"/>
        <v>1.0000000000000004</v>
      </c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3:36" x14ac:dyDescent="0.3">
      <c r="C102" s="20" t="s">
        <v>11</v>
      </c>
      <c r="D102" s="25" t="str">
        <f t="shared" si="47"/>
        <v>Serv</v>
      </c>
      <c r="E102" s="9">
        <f t="shared" ref="E102:M102" si="52">+E29*E$88</f>
        <v>10</v>
      </c>
      <c r="F102" s="10">
        <f t="shared" si="52"/>
        <v>2</v>
      </c>
      <c r="G102" s="10">
        <f t="shared" si="52"/>
        <v>4.0000000000000009</v>
      </c>
      <c r="H102" s="10">
        <f t="shared" si="52"/>
        <v>10</v>
      </c>
      <c r="I102" s="10">
        <f t="shared" si="52"/>
        <v>0</v>
      </c>
      <c r="J102" s="10">
        <f t="shared" si="52"/>
        <v>0</v>
      </c>
      <c r="K102" s="10">
        <f t="shared" si="52"/>
        <v>3.0000000000000004</v>
      </c>
      <c r="L102" s="10">
        <f t="shared" si="52"/>
        <v>0</v>
      </c>
      <c r="M102" s="11">
        <f t="shared" si="52"/>
        <v>7.0000000000000027</v>
      </c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3:36" x14ac:dyDescent="0.3">
      <c r="N103" s="19">
        <f>+SUM(E94:M102)</f>
        <v>416</v>
      </c>
    </row>
    <row r="104" spans="3:36" ht="15" thickBot="1" x14ac:dyDescent="0.35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36" ht="15" thickBot="1" x14ac:dyDescent="0.35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36" x14ac:dyDescent="0.3">
      <c r="C106" s="20" t="s">
        <v>1</v>
      </c>
      <c r="D106" s="28" t="s">
        <v>51</v>
      </c>
      <c r="E106" s="1">
        <f>+MAX(E94-E78,0)</f>
        <v>2</v>
      </c>
      <c r="F106" s="2">
        <f t="shared" ref="F106:M106" si="53">+MAX(F94-F78,0)</f>
        <v>1.0000000000000009</v>
      </c>
      <c r="G106" s="2">
        <f t="shared" si="53"/>
        <v>2.0000000000000036</v>
      </c>
      <c r="H106" s="2">
        <f t="shared" si="53"/>
        <v>0.19999999999999996</v>
      </c>
      <c r="I106" s="2">
        <f t="shared" si="53"/>
        <v>0</v>
      </c>
      <c r="J106" s="2">
        <f t="shared" si="53"/>
        <v>1.5999999999999996</v>
      </c>
      <c r="K106" s="2">
        <f t="shared" si="53"/>
        <v>0.60000000000000009</v>
      </c>
      <c r="L106" s="2">
        <f t="shared" si="53"/>
        <v>1.3999999999999995</v>
      </c>
      <c r="M106" s="3">
        <f t="shared" si="53"/>
        <v>0.4000000000000008</v>
      </c>
      <c r="N106" s="53">
        <f>+SUM(E106:M106)</f>
        <v>9.2000000000000046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6"/>
      <c r="Y106" s="16"/>
      <c r="Z106" s="16"/>
      <c r="AA106" s="16"/>
      <c r="AB106" s="16"/>
      <c r="AC106" s="16"/>
      <c r="AD106" s="16"/>
      <c r="AE106" s="16"/>
      <c r="AF106" s="16"/>
      <c r="AG106" s="18"/>
      <c r="AH106" s="18"/>
      <c r="AI106" s="18"/>
      <c r="AJ106" s="18"/>
    </row>
    <row r="107" spans="3:36" x14ac:dyDescent="0.3">
      <c r="C107" s="20" t="s">
        <v>1</v>
      </c>
      <c r="D107" s="25" t="s">
        <v>52</v>
      </c>
      <c r="E107" s="5">
        <f t="shared" ref="E107:M107" si="54">+MAX(E95-E79,0)</f>
        <v>1.5999999999999996</v>
      </c>
      <c r="F107" s="6">
        <f t="shared" si="54"/>
        <v>0.60000000000000009</v>
      </c>
      <c r="G107" s="6">
        <f t="shared" si="54"/>
        <v>1.8000000000000034</v>
      </c>
      <c r="H107" s="6">
        <f t="shared" si="54"/>
        <v>0.79999999999999982</v>
      </c>
      <c r="I107" s="6">
        <f t="shared" si="54"/>
        <v>0.39999999999999991</v>
      </c>
      <c r="J107" s="6">
        <f t="shared" si="54"/>
        <v>2</v>
      </c>
      <c r="K107" s="6">
        <f t="shared" si="54"/>
        <v>0.20000000000000018</v>
      </c>
      <c r="L107" s="6">
        <f t="shared" si="54"/>
        <v>0.79999999999999982</v>
      </c>
      <c r="M107" s="7">
        <f t="shared" si="54"/>
        <v>1.4000000000000021</v>
      </c>
      <c r="N107" s="8">
        <f t="shared" ref="N107:N114" si="55">+SUM(E107:M107)</f>
        <v>9.600000000000005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6"/>
      <c r="Y107" s="16"/>
      <c r="Z107" s="16"/>
      <c r="AA107" s="16"/>
      <c r="AB107" s="16"/>
      <c r="AC107" s="16"/>
      <c r="AD107" s="16"/>
      <c r="AE107" s="16"/>
      <c r="AF107" s="16"/>
      <c r="AG107" s="18"/>
      <c r="AH107" s="18"/>
      <c r="AI107" s="18"/>
      <c r="AJ107" s="18"/>
    </row>
    <row r="108" spans="3:36" x14ac:dyDescent="0.3">
      <c r="C108" s="20" t="s">
        <v>1</v>
      </c>
      <c r="D108" s="25" t="s">
        <v>53</v>
      </c>
      <c r="E108" s="5">
        <f t="shared" ref="E108:M108" si="56">+MAX(E96-E80,0)</f>
        <v>0</v>
      </c>
      <c r="F108" s="6">
        <f t="shared" si="56"/>
        <v>0</v>
      </c>
      <c r="G108" s="6">
        <f t="shared" si="56"/>
        <v>0</v>
      </c>
      <c r="H108" s="6">
        <f t="shared" si="56"/>
        <v>1.4000000000000004</v>
      </c>
      <c r="I108" s="6">
        <f t="shared" si="56"/>
        <v>0.79999999999999982</v>
      </c>
      <c r="J108" s="6">
        <f t="shared" si="56"/>
        <v>0.79999999999999982</v>
      </c>
      <c r="K108" s="6">
        <f t="shared" si="56"/>
        <v>1.4000000000000004</v>
      </c>
      <c r="L108" s="6">
        <f t="shared" si="56"/>
        <v>0.79999999999999982</v>
      </c>
      <c r="M108" s="7">
        <f t="shared" si="56"/>
        <v>1.4000000000000021</v>
      </c>
      <c r="N108" s="8">
        <f t="shared" si="55"/>
        <v>6.6000000000000023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6"/>
      <c r="Y108" s="16"/>
      <c r="Z108" s="16"/>
      <c r="AA108" s="16"/>
      <c r="AB108" s="16"/>
      <c r="AC108" s="16"/>
      <c r="AD108" s="16"/>
      <c r="AE108" s="16"/>
      <c r="AF108" s="16"/>
      <c r="AG108" s="18"/>
      <c r="AH108" s="18"/>
      <c r="AI108" s="18"/>
      <c r="AJ108" s="18"/>
    </row>
    <row r="109" spans="3:36" x14ac:dyDescent="0.3">
      <c r="C109" s="20" t="s">
        <v>10</v>
      </c>
      <c r="D109" s="25" t="str">
        <f>+D106</f>
        <v>Agr</v>
      </c>
      <c r="E109" s="5">
        <f t="shared" ref="E109:M109" si="57">+MAX(E97-E81,0)</f>
        <v>1.7999999999999998</v>
      </c>
      <c r="F109" s="6">
        <f t="shared" si="57"/>
        <v>1.0000000000000009</v>
      </c>
      <c r="G109" s="6">
        <f t="shared" si="57"/>
        <v>0.80000000000000071</v>
      </c>
      <c r="H109" s="6">
        <f t="shared" si="57"/>
        <v>1.4000000000000004</v>
      </c>
      <c r="I109" s="6">
        <f t="shared" si="57"/>
        <v>2</v>
      </c>
      <c r="J109" s="6">
        <f t="shared" si="57"/>
        <v>1.7999999999999998</v>
      </c>
      <c r="K109" s="6">
        <f t="shared" si="57"/>
        <v>2.0000000000000018</v>
      </c>
      <c r="L109" s="6">
        <f t="shared" si="57"/>
        <v>1.7999999999999998</v>
      </c>
      <c r="M109" s="7">
        <f t="shared" si="57"/>
        <v>1.8000000000000034</v>
      </c>
      <c r="N109" s="8">
        <f t="shared" si="55"/>
        <v>14.400000000000006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6"/>
      <c r="Y109" s="16"/>
      <c r="Z109" s="16"/>
      <c r="AA109" s="16"/>
      <c r="AB109" s="16"/>
      <c r="AC109" s="16"/>
      <c r="AD109" s="16"/>
      <c r="AE109" s="16"/>
      <c r="AF109" s="16"/>
      <c r="AG109" s="18"/>
      <c r="AH109" s="18"/>
      <c r="AI109" s="18"/>
      <c r="AJ109" s="18"/>
    </row>
    <row r="110" spans="3:36" x14ac:dyDescent="0.3">
      <c r="C110" s="20" t="s">
        <v>10</v>
      </c>
      <c r="D110" s="25" t="str">
        <f t="shared" ref="D110:D114" si="58">+D107</f>
        <v>Ind</v>
      </c>
      <c r="E110" s="5">
        <f t="shared" ref="E110:M110" si="59">+MAX(E98-E82,0)</f>
        <v>1.3322676295501878E-15</v>
      </c>
      <c r="F110" s="6">
        <f t="shared" si="59"/>
        <v>6.6613381477509392E-16</v>
      </c>
      <c r="G110" s="6">
        <f t="shared" si="59"/>
        <v>1.7763568394002505E-15</v>
      </c>
      <c r="H110" s="6">
        <f t="shared" si="59"/>
        <v>1.7763568394002505E-15</v>
      </c>
      <c r="I110" s="6">
        <f t="shared" si="59"/>
        <v>3.5527136788005009E-15</v>
      </c>
      <c r="J110" s="6">
        <f t="shared" si="59"/>
        <v>1.3322676295501878E-15</v>
      </c>
      <c r="K110" s="6">
        <f t="shared" si="59"/>
        <v>5.3290705182007514E-15</v>
      </c>
      <c r="L110" s="6">
        <f t="shared" si="59"/>
        <v>6.6613381477509392E-16</v>
      </c>
      <c r="M110" s="7">
        <f t="shared" si="59"/>
        <v>6.2172489379008766E-15</v>
      </c>
      <c r="N110" s="8">
        <f t="shared" si="55"/>
        <v>2.2648549702353193E-14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6"/>
      <c r="Y110" s="16"/>
      <c r="Z110" s="16"/>
      <c r="AA110" s="16"/>
      <c r="AB110" s="16"/>
      <c r="AC110" s="16"/>
      <c r="AD110" s="16"/>
      <c r="AE110" s="16"/>
      <c r="AF110" s="16"/>
      <c r="AG110" s="18"/>
      <c r="AH110" s="18"/>
      <c r="AI110" s="18"/>
      <c r="AJ110" s="18"/>
    </row>
    <row r="111" spans="3:36" x14ac:dyDescent="0.3">
      <c r="C111" s="20" t="s">
        <v>10</v>
      </c>
      <c r="D111" s="25" t="str">
        <f t="shared" si="58"/>
        <v>Serv</v>
      </c>
      <c r="E111" s="5">
        <f t="shared" ref="E111:M111" si="60">+MAX(E99-E83,0)</f>
        <v>1.1999999999999993</v>
      </c>
      <c r="F111" s="6">
        <f t="shared" si="60"/>
        <v>1.0000000000000009</v>
      </c>
      <c r="G111" s="6">
        <f t="shared" si="60"/>
        <v>0.80000000000000071</v>
      </c>
      <c r="H111" s="6">
        <f t="shared" si="60"/>
        <v>0.19999999999999996</v>
      </c>
      <c r="I111" s="6">
        <f t="shared" si="60"/>
        <v>1.7999999999999998</v>
      </c>
      <c r="J111" s="6">
        <f t="shared" si="60"/>
        <v>0.39999999999999991</v>
      </c>
      <c r="K111" s="6">
        <f t="shared" si="60"/>
        <v>0.20000000000000018</v>
      </c>
      <c r="L111" s="6">
        <f t="shared" si="60"/>
        <v>1.1999999999999993</v>
      </c>
      <c r="M111" s="7">
        <f t="shared" si="60"/>
        <v>0.2000000000000004</v>
      </c>
      <c r="N111" s="8">
        <f t="shared" si="55"/>
        <v>7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6"/>
      <c r="Y111" s="16"/>
      <c r="Z111" s="16"/>
      <c r="AA111" s="16"/>
      <c r="AB111" s="16"/>
      <c r="AC111" s="16"/>
      <c r="AD111" s="16"/>
      <c r="AE111" s="16"/>
      <c r="AF111" s="16"/>
      <c r="AG111" s="18"/>
      <c r="AH111" s="18"/>
      <c r="AI111" s="18"/>
      <c r="AJ111" s="18"/>
    </row>
    <row r="112" spans="3:36" x14ac:dyDescent="0.3">
      <c r="C112" s="20" t="s">
        <v>11</v>
      </c>
      <c r="D112" s="25" t="str">
        <f t="shared" si="58"/>
        <v>Agr</v>
      </c>
      <c r="E112" s="5">
        <f t="shared" ref="E112:M112" si="61">+MAX(E100-E84,0)</f>
        <v>0.59999999999999964</v>
      </c>
      <c r="F112" s="6">
        <f t="shared" si="61"/>
        <v>2.0000000000000018</v>
      </c>
      <c r="G112" s="6">
        <f t="shared" si="61"/>
        <v>1.6000000000000014</v>
      </c>
      <c r="H112" s="6">
        <f t="shared" si="61"/>
        <v>1.7999999999999998</v>
      </c>
      <c r="I112" s="6">
        <f t="shared" si="61"/>
        <v>2</v>
      </c>
      <c r="J112" s="6">
        <f t="shared" si="61"/>
        <v>0</v>
      </c>
      <c r="K112" s="6">
        <f t="shared" si="61"/>
        <v>1.4000000000000004</v>
      </c>
      <c r="L112" s="6">
        <f t="shared" si="61"/>
        <v>1.7999999999999998</v>
      </c>
      <c r="M112" s="7">
        <f t="shared" si="61"/>
        <v>1.6000000000000032</v>
      </c>
      <c r="N112" s="8">
        <f t="shared" si="55"/>
        <v>12.800000000000006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6"/>
      <c r="Y112" s="16"/>
      <c r="Z112" s="16"/>
      <c r="AA112" s="16"/>
      <c r="AB112" s="16"/>
      <c r="AC112" s="16"/>
      <c r="AD112" s="16"/>
      <c r="AE112" s="16"/>
      <c r="AF112" s="16"/>
      <c r="AG112" s="18"/>
      <c r="AH112" s="18"/>
      <c r="AI112" s="18"/>
      <c r="AJ112" s="18"/>
    </row>
    <row r="113" spans="1:36" x14ac:dyDescent="0.3">
      <c r="C113" s="20" t="s">
        <v>11</v>
      </c>
      <c r="D113" s="25" t="str">
        <f t="shared" si="58"/>
        <v>Ind</v>
      </c>
      <c r="E113" s="5">
        <f t="shared" ref="E113:M113" si="62">+MAX(E101-E85,0)</f>
        <v>0.19999999999999996</v>
      </c>
      <c r="F113" s="6">
        <f t="shared" si="62"/>
        <v>1.5999999999999996</v>
      </c>
      <c r="G113" s="6">
        <f t="shared" si="62"/>
        <v>0</v>
      </c>
      <c r="H113" s="6">
        <f t="shared" si="62"/>
        <v>1.7999999999999998</v>
      </c>
      <c r="I113" s="6">
        <f t="shared" si="62"/>
        <v>0</v>
      </c>
      <c r="J113" s="6">
        <f t="shared" si="62"/>
        <v>0</v>
      </c>
      <c r="K113" s="6">
        <f t="shared" si="62"/>
        <v>1.6000000000000014</v>
      </c>
      <c r="L113" s="6">
        <f t="shared" si="62"/>
        <v>2</v>
      </c>
      <c r="M113" s="7">
        <f t="shared" si="62"/>
        <v>0.2000000000000004</v>
      </c>
      <c r="N113" s="8">
        <f t="shared" si="55"/>
        <v>7.4000000000000012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6"/>
      <c r="Y113" s="16"/>
      <c r="Z113" s="16"/>
      <c r="AA113" s="16"/>
      <c r="AB113" s="16"/>
      <c r="AC113" s="16"/>
      <c r="AD113" s="16"/>
      <c r="AE113" s="16"/>
      <c r="AF113" s="16"/>
      <c r="AG113" s="18"/>
      <c r="AH113" s="18"/>
      <c r="AI113" s="18"/>
      <c r="AJ113" s="18"/>
    </row>
    <row r="114" spans="1:36" x14ac:dyDescent="0.3">
      <c r="C114" s="20" t="s">
        <v>11</v>
      </c>
      <c r="D114" s="25" t="str">
        <f t="shared" si="58"/>
        <v>Serv</v>
      </c>
      <c r="E114" s="9">
        <f t="shared" ref="E114:M114" si="63">+MAX(E102-E86,0)</f>
        <v>2</v>
      </c>
      <c r="F114" s="10">
        <f t="shared" si="63"/>
        <v>0.39999999999999991</v>
      </c>
      <c r="G114" s="10">
        <f t="shared" si="63"/>
        <v>0.80000000000000071</v>
      </c>
      <c r="H114" s="10">
        <f t="shared" si="63"/>
        <v>2</v>
      </c>
      <c r="I114" s="10">
        <f t="shared" si="63"/>
        <v>0</v>
      </c>
      <c r="J114" s="10">
        <f t="shared" si="63"/>
        <v>0</v>
      </c>
      <c r="K114" s="10">
        <f t="shared" si="63"/>
        <v>0.60000000000000009</v>
      </c>
      <c r="L114" s="10">
        <f t="shared" si="63"/>
        <v>0</v>
      </c>
      <c r="M114" s="11">
        <f t="shared" si="63"/>
        <v>1.4000000000000021</v>
      </c>
      <c r="N114" s="12">
        <f t="shared" si="55"/>
        <v>7.2000000000000028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6"/>
      <c r="Y114" s="16"/>
      <c r="Z114" s="16"/>
      <c r="AA114" s="16"/>
      <c r="AB114" s="16"/>
      <c r="AC114" s="16"/>
      <c r="AD114" s="16"/>
      <c r="AE114" s="16"/>
      <c r="AF114" s="16"/>
      <c r="AG114" s="18"/>
      <c r="AH114" s="18"/>
      <c r="AI114" s="18"/>
      <c r="AJ114" s="18"/>
    </row>
    <row r="115" spans="1:36" x14ac:dyDescent="0.3">
      <c r="C115" s="57"/>
      <c r="D115" s="57"/>
      <c r="E115" s="13">
        <f t="shared" ref="E115:M115" si="64">SUM(E105:E114)</f>
        <v>9.3999999999999986</v>
      </c>
      <c r="F115" s="14">
        <f t="shared" si="64"/>
        <v>7.600000000000005</v>
      </c>
      <c r="G115" s="14">
        <f t="shared" si="64"/>
        <v>7.8000000000000123</v>
      </c>
      <c r="H115" s="14">
        <f t="shared" si="64"/>
        <v>9.6000000000000014</v>
      </c>
      <c r="I115" s="14">
        <f t="shared" si="64"/>
        <v>7.0000000000000036</v>
      </c>
      <c r="J115" s="14">
        <f t="shared" si="64"/>
        <v>6.6000000000000014</v>
      </c>
      <c r="K115" s="14">
        <f t="shared" si="64"/>
        <v>8.0000000000000107</v>
      </c>
      <c r="L115" s="14">
        <f t="shared" si="64"/>
        <v>9.7999999999999989</v>
      </c>
      <c r="M115" s="15">
        <f t="shared" si="64"/>
        <v>8.4000000000000199</v>
      </c>
      <c r="N115" s="19">
        <f>+SUM(E106:M114)</f>
        <v>74.200000000000031</v>
      </c>
    </row>
    <row r="116" spans="1:36" x14ac:dyDescent="0.3">
      <c r="A116" s="66"/>
    </row>
    <row r="117" spans="1:36" x14ac:dyDescent="0.3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  <c r="N117" s="57" t="s">
        <v>56</v>
      </c>
      <c r="O117" t="str" cm="1">
        <f t="array" ref="O117:Q117">+TRANSPOSE(_xlfn.UNIQUE($D$118:$D$126))</f>
        <v>Agr</v>
      </c>
      <c r="P117" t="str">
        <v>Ind</v>
      </c>
      <c r="Q117" t="str">
        <v>Serv</v>
      </c>
      <c r="R117" s="100" t="s">
        <v>58</v>
      </c>
    </row>
    <row r="118" spans="1:36" x14ac:dyDescent="0.3">
      <c r="A118" s="67"/>
      <c r="C118" s="20" t="s">
        <v>1</v>
      </c>
      <c r="D118" s="20" t="s">
        <v>51</v>
      </c>
      <c r="E118" s="53">
        <f>+MAX(F60-H47-SUM(E78:M78),0)</f>
        <v>0</v>
      </c>
      <c r="F118" s="53" cm="1">
        <f t="array" ref="F118">+E118/_xlfn.XLOOKUP(D118,_xlfn.ANCHORARRAY($I$118),$K$118:$K$120,,0)</f>
        <v>0</v>
      </c>
      <c r="G118" s="53" cm="1">
        <f t="array" ref="G118">+E118/_xlfn.XLOOKUP(D118,_xlfn.ANCHORARRAY($I$118),$J$118:$J$120,,0)</f>
        <v>0</v>
      </c>
      <c r="I118" s="54" t="str" cm="1">
        <f t="array" ref="I118:I120">+_xlfn.UNIQUE(D118:D126)</f>
        <v>Agr</v>
      </c>
      <c r="J118" s="58">
        <f>+SUMIF($D$118:$D$126,I118,$E$118:$E$126)</f>
        <v>27.199999999999989</v>
      </c>
      <c r="K118" s="40">
        <f>+SUMIF($D$106:$D$114,I118,$N$106:$N$114)</f>
        <v>36.400000000000013</v>
      </c>
      <c r="L118" s="40">
        <f>+MIN(1,J118/K118)</f>
        <v>0.74725274725274671</v>
      </c>
      <c r="M118" s="18"/>
      <c r="N118" t="str" cm="1">
        <f t="array" ref="N118:N120">+_xlfn.UNIQUE($C$118:$C$126)</f>
        <v>A</v>
      </c>
      <c r="O118" s="16">
        <f>+SUMIFS($E$118:$E$126,$C$118:$C$126,$N118,$D$118:$D$126,O$117)</f>
        <v>0</v>
      </c>
      <c r="P118" s="16">
        <f t="shared" ref="P118:Q118" si="65">+SUMIFS($E$118:$E$126,$C$118:$C$126,$N118,$D$118:$D$126,P$117)</f>
        <v>9.5999999999999943</v>
      </c>
      <c r="Q118" s="16">
        <f t="shared" si="65"/>
        <v>6.5999999999999979</v>
      </c>
      <c r="S118" s="99" cm="1">
        <f t="array" ref="S118:S120">+O118:O120/O121</f>
        <v>0</v>
      </c>
      <c r="T118" s="99" cm="1">
        <f t="array" ref="T118:T120">+P118:P120/P121</f>
        <v>0.56470588235294061</v>
      </c>
      <c r="U118" s="99" cm="1">
        <f t="array" ref="U118:U120">+Q118:Q120/Q121</f>
        <v>0.31730769230769235</v>
      </c>
    </row>
    <row r="119" spans="1:36" x14ac:dyDescent="0.3">
      <c r="C119" s="20" t="s">
        <v>1</v>
      </c>
      <c r="D119" s="20" t="s">
        <v>52</v>
      </c>
      <c r="E119" s="8">
        <f>+MAX(F61-H48-SUM(E79:M79),0)</f>
        <v>9.5999999999999943</v>
      </c>
      <c r="F119" s="8" cm="1">
        <f t="array" ref="F119">+E119/_xlfn.XLOOKUP(D119,_xlfn.ANCHORARRAY($I$118),$K$118:$K$120,,0)</f>
        <v>0.56470588235293995</v>
      </c>
      <c r="G119" s="8" cm="1">
        <f t="array" ref="G119">+E119/_xlfn.XLOOKUP(D119,_xlfn.ANCHORARRAY($I$118),$J$118:$J$120,,0)</f>
        <v>0.56470588235294061</v>
      </c>
      <c r="I119" s="55" t="str">
        <v>Ind</v>
      </c>
      <c r="J119" s="59">
        <f t="shared" ref="J119:J120" si="66">+SUMIF($D$118:$D$126,I119,$E$118:$E$126)</f>
        <v>17.000000000000007</v>
      </c>
      <c r="K119" s="41">
        <f t="shared" ref="K119:K120" si="67">+SUMIF($D$106:$D$114,I119,$N$106:$N$114)</f>
        <v>17.000000000000028</v>
      </c>
      <c r="L119" s="40">
        <f t="shared" ref="L119:L120" si="68">+MIN(1,J119/K119)</f>
        <v>0.99999999999999878</v>
      </c>
      <c r="M119" s="18"/>
      <c r="N119" t="str">
        <v>B</v>
      </c>
      <c r="O119" s="16">
        <f t="shared" ref="O119:Q120" si="69">+SUMIFS($E$118:$E$126,$C$118:$C$126,$N119,$D$118:$D$126,O$117)</f>
        <v>14.399999999999991</v>
      </c>
      <c r="P119" s="16">
        <f t="shared" si="69"/>
        <v>1.4210854715202004E-14</v>
      </c>
      <c r="Q119" s="16">
        <f t="shared" si="69"/>
        <v>6.9999999999999964</v>
      </c>
      <c r="S119" s="99">
        <v>0.52941176470588225</v>
      </c>
      <c r="T119" s="99">
        <v>8.3593263030599991E-16</v>
      </c>
      <c r="U119" s="99">
        <v>0.33653846153846151</v>
      </c>
    </row>
    <row r="120" spans="1:36" x14ac:dyDescent="0.3">
      <c r="C120" s="20" t="s">
        <v>1</v>
      </c>
      <c r="D120" s="20" t="s">
        <v>53</v>
      </c>
      <c r="E120" s="8">
        <f>+MAX(F62-H49-SUM(E80:M80),0)</f>
        <v>6.5999999999999979</v>
      </c>
      <c r="F120" s="8" cm="1">
        <f t="array" ref="F120">+E120/_xlfn.XLOOKUP(D120,_xlfn.ANCHORARRAY($I$118),$K$118:$K$120,,0)</f>
        <v>0.31730769230769212</v>
      </c>
      <c r="G120" s="8" cm="1">
        <f t="array" ref="G120">+E120/_xlfn.XLOOKUP(D120,_xlfn.ANCHORARRAY($I$118),$J$118:$J$120,,0)</f>
        <v>0.31730769230769235</v>
      </c>
      <c r="I120" s="56" t="str">
        <v>Serv</v>
      </c>
      <c r="J120" s="60">
        <f t="shared" si="66"/>
        <v>20.79999999999999</v>
      </c>
      <c r="K120" s="42">
        <f t="shared" si="67"/>
        <v>20.800000000000004</v>
      </c>
      <c r="L120" s="40">
        <f t="shared" si="68"/>
        <v>0.99999999999999933</v>
      </c>
      <c r="M120" s="18"/>
      <c r="N120" t="str">
        <v>C</v>
      </c>
      <c r="O120" s="16">
        <f t="shared" si="69"/>
        <v>12.799999999999997</v>
      </c>
      <c r="P120" s="16">
        <f t="shared" si="69"/>
        <v>7.3999999999999986</v>
      </c>
      <c r="Q120" s="16">
        <f t="shared" si="69"/>
        <v>7.1999999999999957</v>
      </c>
      <c r="S120" s="99">
        <v>0.47058823529411775</v>
      </c>
      <c r="T120" s="99">
        <v>0.43529411764705855</v>
      </c>
      <c r="U120" s="99">
        <v>0.34615384615384609</v>
      </c>
    </row>
    <row r="121" spans="1:36" x14ac:dyDescent="0.3">
      <c r="C121" s="20" t="s">
        <v>10</v>
      </c>
      <c r="D121" s="20" t="str">
        <f>+D118</f>
        <v>Agr</v>
      </c>
      <c r="E121" s="8">
        <f>+MAX(F63-H50-SUM(E81:M81),0)</f>
        <v>14.399999999999991</v>
      </c>
      <c r="F121" s="8" cm="1">
        <f t="array" ref="F121">+E121/_xlfn.XLOOKUP(D121,_xlfn.ANCHORARRAY($I$118),$K$118:$K$120,,0)</f>
        <v>0.39560439560439525</v>
      </c>
      <c r="G121" s="8" cm="1">
        <f t="array" ref="G121">+E121/_xlfn.XLOOKUP(D121,_xlfn.ANCHORARRAY($I$118),$J$118:$J$120,,0)</f>
        <v>0.52941176470588225</v>
      </c>
      <c r="H121" s="18"/>
      <c r="N121" t="s">
        <v>57</v>
      </c>
      <c r="O121" s="19">
        <f>SUM(O118:O120)</f>
        <v>27.199999999999989</v>
      </c>
      <c r="P121" s="19">
        <f t="shared" ref="P121:Q121" si="70">SUM(P118:P120)</f>
        <v>17.000000000000007</v>
      </c>
      <c r="Q121" s="19">
        <f t="shared" si="70"/>
        <v>20.79999999999999</v>
      </c>
    </row>
    <row r="122" spans="1:36" x14ac:dyDescent="0.3">
      <c r="C122" s="20" t="s">
        <v>10</v>
      </c>
      <c r="D122" s="20" t="str">
        <f t="shared" ref="D122:D126" si="71">+D119</f>
        <v>Ind</v>
      </c>
      <c r="E122" s="8">
        <f t="shared" ref="E122:E126" si="72">+MAX(F64-H51-SUM(E82:M82),0)</f>
        <v>1.4210854715202004E-14</v>
      </c>
      <c r="F122" s="8" cm="1">
        <f t="array" ref="F122">+E122/_xlfn.XLOOKUP(D122,_xlfn.ANCHORARRAY($I$118),$K$118:$K$120,,0)</f>
        <v>8.3593263030599883E-16</v>
      </c>
      <c r="G122" s="8" cm="1">
        <f t="array" ref="G122">+E122/_xlfn.XLOOKUP(D122,_xlfn.ANCHORARRAY($I$118),$J$118:$J$120,,0)</f>
        <v>8.3593263030599991E-16</v>
      </c>
      <c r="I122" s="20" t="s">
        <v>39</v>
      </c>
    </row>
    <row r="123" spans="1:36" x14ac:dyDescent="0.3">
      <c r="C123" s="20" t="s">
        <v>10</v>
      </c>
      <c r="D123" s="20" t="str">
        <f t="shared" si="71"/>
        <v>Serv</v>
      </c>
      <c r="E123" s="8">
        <f t="shared" si="72"/>
        <v>6.9999999999999964</v>
      </c>
      <c r="F123" s="8" cm="1">
        <f t="array" ref="F123">+E123/_xlfn.XLOOKUP(D123,_xlfn.ANCHORARRAY($I$118),$K$118:$K$120,,0)</f>
        <v>0.33653846153846129</v>
      </c>
      <c r="G123" s="8" cm="1">
        <f t="array" ref="G123">+E123/_xlfn.XLOOKUP(D123,_xlfn.ANCHORARRAY($I$118),$J$118:$J$120,,0)</f>
        <v>0.33653846153846151</v>
      </c>
      <c r="I123" s="69">
        <v>1</v>
      </c>
    </row>
    <row r="124" spans="1:36" x14ac:dyDescent="0.3">
      <c r="C124" s="20" t="s">
        <v>11</v>
      </c>
      <c r="D124" s="20" t="str">
        <f t="shared" si="71"/>
        <v>Agr</v>
      </c>
      <c r="E124" s="8">
        <f t="shared" si="72"/>
        <v>12.799999999999997</v>
      </c>
      <c r="F124" s="8" cm="1">
        <f t="array" ref="F124">+E124/_xlfn.XLOOKUP(D124,_xlfn.ANCHORARRAY($I$118),$K$118:$K$120,,0)</f>
        <v>0.35164835164835145</v>
      </c>
      <c r="G124" s="8" cm="1">
        <f t="array" ref="G124">+E124/_xlfn.XLOOKUP(D124,_xlfn.ANCHORARRAY($I$118),$J$118:$J$120,,0)</f>
        <v>0.47058823529411775</v>
      </c>
    </row>
    <row r="125" spans="1:36" x14ac:dyDescent="0.3">
      <c r="C125" s="20" t="s">
        <v>11</v>
      </c>
      <c r="D125" s="20" t="str">
        <f t="shared" si="71"/>
        <v>Ind</v>
      </c>
      <c r="E125" s="8">
        <f t="shared" si="72"/>
        <v>7.3999999999999986</v>
      </c>
      <c r="F125" s="8" cm="1">
        <f t="array" ref="F125">+E125/_xlfn.XLOOKUP(D125,_xlfn.ANCHORARRAY($I$118),$K$118:$K$120,,0)</f>
        <v>0.435294117647058</v>
      </c>
      <c r="G125" s="8" cm="1">
        <f t="array" ref="G125">+E125/_xlfn.XLOOKUP(D125,_xlfn.ANCHORARRAY($I$118),$J$118:$J$120,,0)</f>
        <v>0.43529411764705855</v>
      </c>
    </row>
    <row r="126" spans="1:36" x14ac:dyDescent="0.3">
      <c r="C126" s="20" t="s">
        <v>11</v>
      </c>
      <c r="D126" s="20" t="str">
        <f t="shared" si="71"/>
        <v>Serv</v>
      </c>
      <c r="E126" s="12">
        <f t="shared" si="72"/>
        <v>7.1999999999999957</v>
      </c>
      <c r="F126" s="12" cm="1">
        <f t="array" ref="F126">+E126/_xlfn.XLOOKUP(D126,_xlfn.ANCHORARRAY($I$118),$K$118:$K$120,,0)</f>
        <v>0.34615384615384587</v>
      </c>
      <c r="G126" s="12" cm="1">
        <f t="array" ref="G126">+E126/_xlfn.XLOOKUP(D126,_xlfn.ANCHORARRAY($I$118),$J$118:$J$120,,0)</f>
        <v>0.34615384615384609</v>
      </c>
    </row>
    <row r="127" spans="1:36" x14ac:dyDescent="0.3">
      <c r="E127" s="19">
        <f>SUM(E118:E126)</f>
        <v>64.999999999999986</v>
      </c>
      <c r="G127" s="19">
        <f>SUM(G118:G126)</f>
        <v>3</v>
      </c>
    </row>
    <row r="128" spans="1:36" ht="15" thickBot="1" x14ac:dyDescent="0.35">
      <c r="A128" s="64"/>
      <c r="E128" s="19"/>
      <c r="G128" s="19"/>
    </row>
    <row r="129" spans="1:24" ht="15" thickBot="1" x14ac:dyDescent="0.35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  <c r="O129" s="109" t="s">
        <v>59</v>
      </c>
      <c r="P129" s="110" t="s">
        <v>1</v>
      </c>
      <c r="Q129" s="110" t="s">
        <v>1</v>
      </c>
      <c r="R129" s="110" t="s">
        <v>1</v>
      </c>
      <c r="S129" s="110" t="s">
        <v>10</v>
      </c>
      <c r="T129" s="110" t="s">
        <v>10</v>
      </c>
      <c r="U129" s="110" t="s">
        <v>10</v>
      </c>
      <c r="V129" s="110" t="s">
        <v>11</v>
      </c>
      <c r="W129" s="110" t="s">
        <v>11</v>
      </c>
      <c r="X129" s="111" t="s">
        <v>11</v>
      </c>
    </row>
    <row r="130" spans="1:24" ht="15" thickBot="1" x14ac:dyDescent="0.35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  <c r="O130" s="112" t="s">
        <v>55</v>
      </c>
      <c r="P130" s="49" t="s">
        <v>51</v>
      </c>
      <c r="Q130" s="49" t="s">
        <v>52</v>
      </c>
      <c r="R130" s="49" t="s">
        <v>53</v>
      </c>
      <c r="S130" s="49" t="s">
        <v>51</v>
      </c>
      <c r="T130" s="49" t="s">
        <v>52</v>
      </c>
      <c r="U130" s="49" t="s">
        <v>53</v>
      </c>
      <c r="V130" s="49" t="s">
        <v>51</v>
      </c>
      <c r="W130" s="49" t="s">
        <v>52</v>
      </c>
      <c r="X130" s="113" t="s">
        <v>53</v>
      </c>
    </row>
    <row r="131" spans="1:24" ht="15" thickBot="1" x14ac:dyDescent="0.35">
      <c r="D131" s="28" t="str" cm="1">
        <f t="array" ref="D131:D133">+_xlfn.UNIQUE(D118:D126)</f>
        <v>Agr</v>
      </c>
      <c r="E131" s="1">
        <f t="shared" ref="E131:M133" si="73">+SUMIF($D$106:$D$114,$D131,E$106:E$114)</f>
        <v>4.3999999999999995</v>
      </c>
      <c r="F131" s="2">
        <f t="shared" si="73"/>
        <v>4.0000000000000036</v>
      </c>
      <c r="G131" s="2">
        <f t="shared" si="73"/>
        <v>4.4000000000000057</v>
      </c>
      <c r="H131" s="2">
        <f t="shared" si="73"/>
        <v>3.4000000000000004</v>
      </c>
      <c r="I131" s="2">
        <f t="shared" si="73"/>
        <v>4</v>
      </c>
      <c r="J131" s="2">
        <f t="shared" si="73"/>
        <v>3.3999999999999995</v>
      </c>
      <c r="K131" s="2">
        <f t="shared" si="73"/>
        <v>4.0000000000000018</v>
      </c>
      <c r="L131" s="2">
        <f t="shared" si="73"/>
        <v>4.9999999999999991</v>
      </c>
      <c r="M131" s="3">
        <f t="shared" si="73"/>
        <v>3.8000000000000074</v>
      </c>
      <c r="O131" s="104">
        <f>+$L118*$I$123</f>
        <v>0.74725274725274671</v>
      </c>
      <c r="P131" s="105">
        <f>+$O131*E131</f>
        <v>3.2879120879120851</v>
      </c>
      <c r="Q131" s="105">
        <f t="shared" ref="Q131:X131" si="74">+$O131*F131</f>
        <v>2.9890109890109895</v>
      </c>
      <c r="R131" s="105">
        <f t="shared" si="74"/>
        <v>3.2879120879120896</v>
      </c>
      <c r="S131" s="105">
        <f t="shared" si="74"/>
        <v>2.5406593406593392</v>
      </c>
      <c r="T131" s="105">
        <f t="shared" si="74"/>
        <v>2.9890109890109868</v>
      </c>
      <c r="U131" s="105">
        <f t="shared" si="74"/>
        <v>2.5406593406593383</v>
      </c>
      <c r="V131" s="105">
        <f t="shared" si="74"/>
        <v>2.9890109890109882</v>
      </c>
      <c r="W131" s="105">
        <f t="shared" si="74"/>
        <v>3.7362637362637328</v>
      </c>
      <c r="X131" s="106">
        <f t="shared" si="74"/>
        <v>2.8395604395604428</v>
      </c>
    </row>
    <row r="132" spans="1:24" x14ac:dyDescent="0.3">
      <c r="D132" s="25" t="str">
        <v>Ind</v>
      </c>
      <c r="E132" s="5">
        <f t="shared" si="73"/>
        <v>1.8000000000000009</v>
      </c>
      <c r="F132" s="6">
        <f t="shared" si="73"/>
        <v>2.2000000000000002</v>
      </c>
      <c r="G132" s="6">
        <f t="shared" si="73"/>
        <v>1.8000000000000052</v>
      </c>
      <c r="H132" s="6">
        <f t="shared" si="73"/>
        <v>2.6000000000000014</v>
      </c>
      <c r="I132" s="6">
        <f t="shared" si="73"/>
        <v>0.40000000000000346</v>
      </c>
      <c r="J132" s="6">
        <f t="shared" si="73"/>
        <v>2.0000000000000013</v>
      </c>
      <c r="K132" s="6">
        <f t="shared" si="73"/>
        <v>1.8000000000000069</v>
      </c>
      <c r="L132" s="6">
        <f t="shared" si="73"/>
        <v>2.8000000000000007</v>
      </c>
      <c r="M132" s="7">
        <f t="shared" si="73"/>
        <v>1.6000000000000087</v>
      </c>
      <c r="P132" s="108" cm="1">
        <f t="array" ref="P132:X134">+MMULT(_xlfn.ANCHORARRAY(S118),$P$131:$X$131)</f>
        <v>0</v>
      </c>
      <c r="Q132" s="108">
        <v>0</v>
      </c>
      <c r="R132" s="108">
        <v>0</v>
      </c>
      <c r="S132" s="108">
        <v>0</v>
      </c>
      <c r="T132" s="108">
        <v>0</v>
      </c>
      <c r="U132" s="108">
        <v>0</v>
      </c>
      <c r="V132" s="108">
        <v>0</v>
      </c>
      <c r="W132" s="108">
        <v>0</v>
      </c>
      <c r="X132" s="108">
        <v>0</v>
      </c>
    </row>
    <row r="133" spans="1:24" x14ac:dyDescent="0.3">
      <c r="D133" s="25" t="str">
        <v>Serv</v>
      </c>
      <c r="E133" s="9">
        <f t="shared" si="73"/>
        <v>3.1999999999999993</v>
      </c>
      <c r="F133" s="10">
        <f t="shared" si="73"/>
        <v>1.4000000000000008</v>
      </c>
      <c r="G133" s="10">
        <f t="shared" si="73"/>
        <v>1.6000000000000014</v>
      </c>
      <c r="H133" s="10">
        <f t="shared" si="73"/>
        <v>3.6000000000000005</v>
      </c>
      <c r="I133" s="10">
        <f t="shared" si="73"/>
        <v>2.5999999999999996</v>
      </c>
      <c r="J133" s="10">
        <f t="shared" si="73"/>
        <v>1.1999999999999997</v>
      </c>
      <c r="K133" s="10">
        <f t="shared" si="73"/>
        <v>2.2000000000000006</v>
      </c>
      <c r="L133" s="10">
        <f t="shared" si="73"/>
        <v>1.9999999999999991</v>
      </c>
      <c r="M133" s="11">
        <f t="shared" si="73"/>
        <v>3.0000000000000044</v>
      </c>
      <c r="P133" s="102">
        <v>1.7406593406593389</v>
      </c>
      <c r="Q133" s="102">
        <v>1.5824175824175823</v>
      </c>
      <c r="R133" s="102">
        <v>1.7406593406593411</v>
      </c>
      <c r="S133" s="102">
        <v>1.3450549450549441</v>
      </c>
      <c r="T133" s="102">
        <v>1.582417582417581</v>
      </c>
      <c r="U133" s="102">
        <v>1.3450549450549436</v>
      </c>
      <c r="V133" s="102">
        <v>1.5824175824175817</v>
      </c>
      <c r="W133" s="102">
        <v>1.9780219780219759</v>
      </c>
      <c r="X133" s="102">
        <v>1.5032967032967046</v>
      </c>
    </row>
    <row r="134" spans="1:24" ht="15" thickBot="1" x14ac:dyDescent="0.35">
      <c r="P134" s="107">
        <v>1.5472527472527462</v>
      </c>
      <c r="Q134" s="107">
        <v>1.4065934065934071</v>
      </c>
      <c r="R134" s="107">
        <v>1.5472527472527484</v>
      </c>
      <c r="S134" s="107">
        <v>1.1956043956043951</v>
      </c>
      <c r="T134" s="107">
        <v>1.4065934065934058</v>
      </c>
      <c r="U134" s="107">
        <v>1.1956043956043947</v>
      </c>
      <c r="V134" s="107">
        <v>1.4065934065934065</v>
      </c>
      <c r="W134" s="107">
        <v>1.7582417582417569</v>
      </c>
      <c r="X134" s="107">
        <v>1.3362637362637382</v>
      </c>
    </row>
    <row r="135" spans="1:24" ht="15" thickBot="1" x14ac:dyDescent="0.35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  <c r="O135" s="104">
        <f>+$L119*$I$123</f>
        <v>0.99999999999999878</v>
      </c>
      <c r="P135" s="105">
        <f t="shared" ref="P135:X135" si="75">+$O135*E132</f>
        <v>1.7999999999999987</v>
      </c>
      <c r="Q135" s="105">
        <f t="shared" si="75"/>
        <v>2.1999999999999975</v>
      </c>
      <c r="R135" s="105">
        <f t="shared" si="75"/>
        <v>1.8000000000000029</v>
      </c>
      <c r="S135" s="105">
        <f t="shared" si="75"/>
        <v>2.5999999999999983</v>
      </c>
      <c r="T135" s="105">
        <f t="shared" si="75"/>
        <v>0.40000000000000296</v>
      </c>
      <c r="U135" s="105">
        <f t="shared" si="75"/>
        <v>1.9999999999999989</v>
      </c>
      <c r="V135" s="105">
        <f t="shared" si="75"/>
        <v>1.8000000000000047</v>
      </c>
      <c r="W135" s="105">
        <f t="shared" si="75"/>
        <v>2.7999999999999972</v>
      </c>
      <c r="X135" s="106">
        <f t="shared" si="75"/>
        <v>1.6000000000000068</v>
      </c>
    </row>
    <row r="136" spans="1:24" ht="15" thickBot="1" x14ac:dyDescent="0.35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  <c r="P136" s="103" cm="1">
        <f t="array" ref="P136:X138">+MMULT(_xlfn.ANCHORARRAY(T118),$P$135:$X$135)</f>
        <v>1.0164705882352925</v>
      </c>
      <c r="Q136" s="103">
        <v>1.242352941176468</v>
      </c>
      <c r="R136" s="103">
        <v>1.0164705882352947</v>
      </c>
      <c r="S136" s="103">
        <v>1.4682352941176446</v>
      </c>
      <c r="T136" s="103">
        <v>0.22588235294117792</v>
      </c>
      <c r="U136" s="103">
        <v>1.1294117647058806</v>
      </c>
      <c r="V136" s="103">
        <v>1.0164705882352958</v>
      </c>
      <c r="W136" s="103">
        <v>1.5811764705882321</v>
      </c>
      <c r="X136" s="103">
        <v>0.9035294117647088</v>
      </c>
    </row>
    <row r="137" spans="1:24" x14ac:dyDescent="0.3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0</v>
      </c>
      <c r="G137" s="2" cm="1">
        <f t="array" ref="G137">+$I$123*$G118*_xlfn.XLOOKUP($D137,_xlfn.ANCHORARRAY($I$118),$L$118:$L$120,,0)*_xlfn.XLOOKUP($D137,$D$131:$D$133,G$131:G$133,,0)</f>
        <v>0</v>
      </c>
      <c r="H137" s="2" cm="1">
        <f t="array" ref="H137">+$I$123*$G118*_xlfn.XLOOKUP($D137,_xlfn.ANCHORARRAY($I$118),$L$118:$L$120,,0)*_xlfn.XLOOKUP($D137,$D$131:$D$133,H$131:H$133,,0)</f>
        <v>0</v>
      </c>
      <c r="I137" s="2" cm="1">
        <f t="array" ref="I137">+$I$123*$G118*_xlfn.XLOOKUP($D137,_xlfn.ANCHORARRAY($I$118),$L$118:$L$120,,0)*_xlfn.XLOOKUP($D137,$D$131:$D$133,I$131:I$133,,0)</f>
        <v>0</v>
      </c>
      <c r="J137" s="2" cm="1">
        <f t="array" ref="J137">+$I$123*$G118*_xlfn.XLOOKUP($D137,_xlfn.ANCHORARRAY($I$118),$L$118:$L$120,,0)*_xlfn.XLOOKUP($D137,$D$131:$D$133,J$131:J$133,,0)</f>
        <v>0</v>
      </c>
      <c r="K137" s="2" cm="1">
        <f t="array" ref="K137">+$I$123*$G118*_xlfn.XLOOKUP($D137,_xlfn.ANCHORARRAY($I$118),$L$118:$L$120,,0)*_xlfn.XLOOKUP($D137,$D$131:$D$133,K$131:K$133,,0)</f>
        <v>0</v>
      </c>
      <c r="L137" s="2" cm="1">
        <f t="array" ref="L137">+$I$123*$G118*_xlfn.XLOOKUP($D137,_xlfn.ANCHORARRAY($I$118),$L$118:$L$120,,0)*_xlfn.XLOOKUP($D137,$D$131:$D$133,L$131:L$133,,0)</f>
        <v>0</v>
      </c>
      <c r="M137" s="3" cm="1">
        <f t="array" ref="M137">+$I$123*$G118*_xlfn.XLOOKUP($D137,_xlfn.ANCHORARRAY($I$118),$L$118:$L$120,,0)*_xlfn.XLOOKUP($D137,$D$131:$D$133,M$131:M$133,,0)</f>
        <v>0</v>
      </c>
      <c r="P137" s="101">
        <v>1.5046787345507988E-15</v>
      </c>
      <c r="Q137" s="101">
        <v>1.8390517866731979E-15</v>
      </c>
      <c r="R137" s="101">
        <v>1.5046787345508023E-15</v>
      </c>
      <c r="S137" s="101">
        <v>2.1734248387955984E-15</v>
      </c>
      <c r="T137" s="101">
        <v>3.3437305212240245E-16</v>
      </c>
      <c r="U137" s="101">
        <v>1.6718652606119988E-15</v>
      </c>
      <c r="V137" s="101">
        <v>1.5046787345508037E-15</v>
      </c>
      <c r="W137" s="101">
        <v>2.3406113648567974E-15</v>
      </c>
      <c r="X137" s="101">
        <v>1.3374922084896055E-15</v>
      </c>
    </row>
    <row r="138" spans="1:24" ht="15" thickBot="1" x14ac:dyDescent="0.35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1.0164705882352925</v>
      </c>
      <c r="F138" s="6" cm="1">
        <f t="array" ref="F138">+$I$123*$G119*_xlfn.XLOOKUP($D138,_xlfn.ANCHORARRAY($I$118),$L$118:$L$120,,0)*_xlfn.XLOOKUP($D138,$D$131:$D$133,F$131:F$133,,0)</f>
        <v>1.242352941176468</v>
      </c>
      <c r="G138" s="6" cm="1">
        <f t="array" ref="G138">+$I$123*$G119*_xlfn.XLOOKUP($D138,_xlfn.ANCHORARRAY($I$118),$L$118:$L$120,,0)*_xlfn.XLOOKUP($D138,$D$131:$D$133,G$131:G$133,,0)</f>
        <v>1.0164705882352949</v>
      </c>
      <c r="H138" s="6" cm="1">
        <f t="array" ref="H138">+$I$123*$G119*_xlfn.XLOOKUP($D138,_xlfn.ANCHORARRAY($I$118),$L$118:$L$120,,0)*_xlfn.XLOOKUP($D138,$D$131:$D$133,H$131:H$133,,0)</f>
        <v>1.4682352941176446</v>
      </c>
      <c r="I138" s="6" cm="1">
        <f t="array" ref="I138">+$I$123*$G119*_xlfn.XLOOKUP($D138,_xlfn.ANCHORARRAY($I$118),$L$118:$L$120,,0)*_xlfn.XLOOKUP($D138,$D$131:$D$133,I$131:I$133,,0)</f>
        <v>0.22588235294117792</v>
      </c>
      <c r="J138" s="6" cm="1">
        <f t="array" ref="J138">+$I$123*$G119*_xlfn.XLOOKUP($D138,_xlfn.ANCHORARRAY($I$118),$L$118:$L$120,,0)*_xlfn.XLOOKUP($D138,$D$131:$D$133,J$131:J$133,,0)</f>
        <v>1.1294117647058806</v>
      </c>
      <c r="K138" s="6" cm="1">
        <f t="array" ref="K138">+$I$123*$G119*_xlfn.XLOOKUP($D138,_xlfn.ANCHORARRAY($I$118),$L$118:$L$120,,0)*_xlfn.XLOOKUP($D138,$D$131:$D$133,K$131:K$133,,0)</f>
        <v>1.0164705882352958</v>
      </c>
      <c r="L138" s="6" cm="1">
        <f t="array" ref="L138">+$I$123*$G119*_xlfn.XLOOKUP($D138,_xlfn.ANCHORARRAY($I$118),$L$118:$L$120,,0)*_xlfn.XLOOKUP($D138,$D$131:$D$133,L$131:L$133,,0)</f>
        <v>1.5811764705882323</v>
      </c>
      <c r="M138" s="7" cm="1">
        <f t="array" ref="M138">+$I$123*$G119*_xlfn.XLOOKUP($D138,_xlfn.ANCHORARRAY($I$118),$L$118:$L$120,,0)*_xlfn.XLOOKUP($D138,$D$131:$D$133,M$131:M$133,,0)</f>
        <v>0.9035294117647088</v>
      </c>
      <c r="N138" s="18"/>
      <c r="P138" s="101">
        <v>0.78352941176470481</v>
      </c>
      <c r="Q138" s="101">
        <v>0.95764705882352774</v>
      </c>
      <c r="R138" s="101">
        <v>0.7835294117647067</v>
      </c>
      <c r="S138" s="101">
        <v>1.1317647058823515</v>
      </c>
      <c r="T138" s="101">
        <v>0.17411764705882471</v>
      </c>
      <c r="U138" s="101">
        <v>0.87058823529411666</v>
      </c>
      <c r="V138" s="101">
        <v>0.78352941176470747</v>
      </c>
      <c r="W138" s="101">
        <v>1.2188235294117626</v>
      </c>
      <c r="X138" s="101">
        <v>0.69647058823529662</v>
      </c>
    </row>
    <row r="139" spans="1:24" ht="15" thickBot="1" x14ac:dyDescent="0.35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1.0153846153846147</v>
      </c>
      <c r="F139" s="6" cm="1">
        <f t="array" ref="F139">+$I$123*$G120*_xlfn.XLOOKUP($D139,_xlfn.ANCHORARRAY($I$118),$L$118:$L$120,,0)*_xlfn.XLOOKUP($D139,$D$131:$D$133,F$131:F$133,,0)</f>
        <v>0.44423076923076921</v>
      </c>
      <c r="G139" s="6" cm="1">
        <f t="array" ref="G139">+$I$123*$G120*_xlfn.XLOOKUP($D139,_xlfn.ANCHORARRAY($I$118),$L$118:$L$120,,0)*_xlfn.XLOOKUP($D139,$D$131:$D$133,G$131:G$133,,0)</f>
        <v>0.50769230769230789</v>
      </c>
      <c r="H139" s="6" cm="1">
        <f t="array" ref="H139">+$I$123*$G120*_xlfn.XLOOKUP($D139,_xlfn.ANCHORARRAY($I$118),$L$118:$L$120,,0)*_xlfn.XLOOKUP($D139,$D$131:$D$133,H$131:H$133,,0)</f>
        <v>1.1423076923076918</v>
      </c>
      <c r="I139" s="6" cm="1">
        <f t="array" ref="I139">+$I$123*$G120*_xlfn.XLOOKUP($D139,_xlfn.ANCHORARRAY($I$118),$L$118:$L$120,,0)*_xlfn.XLOOKUP($D139,$D$131:$D$133,I$131:I$133,,0)</f>
        <v>0.8249999999999994</v>
      </c>
      <c r="J139" s="6" cm="1">
        <f t="array" ref="J139">+$I$123*$G120*_xlfn.XLOOKUP($D139,_xlfn.ANCHORARRAY($I$118),$L$118:$L$120,,0)*_xlfn.XLOOKUP($D139,$D$131:$D$133,J$131:J$133,,0)</f>
        <v>0.38076923076923047</v>
      </c>
      <c r="K139" s="6" cm="1">
        <f t="array" ref="K139">+$I$123*$G120*_xlfn.XLOOKUP($D139,_xlfn.ANCHORARRAY($I$118),$L$118:$L$120,,0)*_xlfn.XLOOKUP($D139,$D$131:$D$133,K$131:K$133,,0)</f>
        <v>0.69807692307692282</v>
      </c>
      <c r="L139" s="6" cm="1">
        <f t="array" ref="L139">+$I$123*$G120*_xlfn.XLOOKUP($D139,_xlfn.ANCHORARRAY($I$118),$L$118:$L$120,,0)*_xlfn.XLOOKUP($D139,$D$131:$D$133,L$131:L$133,,0)</f>
        <v>0.63461538461538392</v>
      </c>
      <c r="M139" s="7" cm="1">
        <f t="array" ref="M139">+$I$123*$G120*_xlfn.XLOOKUP($D139,_xlfn.ANCHORARRAY($I$118),$L$118:$L$120,,0)*_xlfn.XLOOKUP($D139,$D$131:$D$133,M$131:M$133,,0)</f>
        <v>0.95192307692307776</v>
      </c>
      <c r="N139" s="18"/>
      <c r="O139" s="104">
        <f>+$L120*$I$123</f>
        <v>0.99999999999999933</v>
      </c>
      <c r="P139" s="105">
        <f t="shared" ref="P139:X139" si="76">+$O139*E133</f>
        <v>3.1999999999999971</v>
      </c>
      <c r="Q139" s="105">
        <f t="shared" si="76"/>
        <v>1.4</v>
      </c>
      <c r="R139" s="105">
        <f t="shared" si="76"/>
        <v>1.6000000000000003</v>
      </c>
      <c r="S139" s="105">
        <f t="shared" si="76"/>
        <v>3.5999999999999983</v>
      </c>
      <c r="T139" s="105">
        <f t="shared" si="76"/>
        <v>2.5999999999999979</v>
      </c>
      <c r="U139" s="105">
        <f t="shared" si="76"/>
        <v>1.1999999999999988</v>
      </c>
      <c r="V139" s="105">
        <f t="shared" si="76"/>
        <v>2.1999999999999993</v>
      </c>
      <c r="W139" s="105">
        <f t="shared" si="76"/>
        <v>1.9999999999999978</v>
      </c>
      <c r="X139" s="106">
        <f t="shared" si="76"/>
        <v>3.0000000000000027</v>
      </c>
    </row>
    <row r="140" spans="1:24" x14ac:dyDescent="0.3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1.7406593406593389</v>
      </c>
      <c r="F140" s="6" cm="1">
        <f t="array" ref="F140">+$I$123*$G121*_xlfn.XLOOKUP($D140,_xlfn.ANCHORARRAY($I$118),$L$118:$L$120,,0)*_xlfn.XLOOKUP($D140,$D$131:$D$133,F$131:F$133,,0)</f>
        <v>1.5824175824175823</v>
      </c>
      <c r="G140" s="6" cm="1">
        <f t="array" ref="G140">+$I$123*$G121*_xlfn.XLOOKUP($D140,_xlfn.ANCHORARRAY($I$118),$L$118:$L$120,,0)*_xlfn.XLOOKUP($D140,$D$131:$D$133,G$131:G$133,,0)</f>
        <v>1.7406593406593414</v>
      </c>
      <c r="H140" s="6" cm="1">
        <f t="array" ref="H140">+$I$123*$G121*_xlfn.XLOOKUP($D140,_xlfn.ANCHORARRAY($I$118),$L$118:$L$120,,0)*_xlfn.XLOOKUP($D140,$D$131:$D$133,H$131:H$133,,0)</f>
        <v>1.3450549450549441</v>
      </c>
      <c r="I140" s="6" cm="1">
        <f t="array" ref="I140">+$I$123*$G121*_xlfn.XLOOKUP($D140,_xlfn.ANCHORARRAY($I$118),$L$118:$L$120,,0)*_xlfn.XLOOKUP($D140,$D$131:$D$133,I$131:I$133,,0)</f>
        <v>1.582417582417581</v>
      </c>
      <c r="J140" s="6" cm="1">
        <f t="array" ref="J140">+$I$123*$G121*_xlfn.XLOOKUP($D140,_xlfn.ANCHORARRAY($I$118),$L$118:$L$120,,0)*_xlfn.XLOOKUP($D140,$D$131:$D$133,J$131:J$133,,0)</f>
        <v>1.3450549450549436</v>
      </c>
      <c r="K140" s="6" cm="1">
        <f t="array" ref="K140">+$I$123*$G121*_xlfn.XLOOKUP($D140,_xlfn.ANCHORARRAY($I$118),$L$118:$L$120,,0)*_xlfn.XLOOKUP($D140,$D$131:$D$133,K$131:K$133,,0)</f>
        <v>1.5824175824175817</v>
      </c>
      <c r="L140" s="6" cm="1">
        <f t="array" ref="L140">+$I$123*$G121*_xlfn.XLOOKUP($D140,_xlfn.ANCHORARRAY($I$118),$L$118:$L$120,,0)*_xlfn.XLOOKUP($D140,$D$131:$D$133,L$131:L$133,,0)</f>
        <v>1.9780219780219759</v>
      </c>
      <c r="M140" s="7" cm="1">
        <f t="array" ref="M140">+$I$123*$G121*_xlfn.XLOOKUP($D140,_xlfn.ANCHORARRAY($I$118),$L$118:$L$120,,0)*_xlfn.XLOOKUP($D140,$D$131:$D$133,M$131:M$133,,0)</f>
        <v>1.5032967032967048</v>
      </c>
      <c r="N140" s="18"/>
      <c r="P140" s="103" cm="1">
        <f t="array" ref="P140:X142">+MMULT(_xlfn.ANCHORARRAY(U118),$P$139:$X$139)</f>
        <v>1.0153846153846147</v>
      </c>
      <c r="Q140" s="103">
        <v>0.44423076923076926</v>
      </c>
      <c r="R140" s="103">
        <v>0.50769230769230789</v>
      </c>
      <c r="S140" s="103">
        <v>1.1423076923076918</v>
      </c>
      <c r="T140" s="103">
        <v>0.8249999999999994</v>
      </c>
      <c r="U140" s="103">
        <v>0.38076923076923047</v>
      </c>
      <c r="V140" s="103">
        <v>0.69807692307692293</v>
      </c>
      <c r="W140" s="103">
        <v>0.63461538461538403</v>
      </c>
      <c r="X140" s="103">
        <v>0.95192307692307787</v>
      </c>
    </row>
    <row r="141" spans="1:24" x14ac:dyDescent="0.3">
      <c r="C141" s="20" t="s">
        <v>10</v>
      </c>
      <c r="D141" s="25" t="str">
        <f t="shared" ref="D141:D145" si="77">+D138</f>
        <v>Ind</v>
      </c>
      <c r="E141" s="5" cm="1">
        <f t="array" ref="E141">+$I$123*$G122*_xlfn.XLOOKUP($D141,_xlfn.ANCHORARRAY($I$118),$L$118:$L$120,,0)*_xlfn.XLOOKUP($D141,$D$131:$D$133,E$131:E$133,,0)</f>
        <v>1.5046787345507988E-15</v>
      </c>
      <c r="F141" s="6" cm="1">
        <f t="array" ref="F141">+$I$123*$G122*_xlfn.XLOOKUP($D141,_xlfn.ANCHORARRAY($I$118),$L$118:$L$120,,0)*_xlfn.XLOOKUP($D141,$D$131:$D$133,F$131:F$133,,0)</f>
        <v>1.8390517866731979E-15</v>
      </c>
      <c r="G141" s="6" cm="1">
        <f t="array" ref="G141">+$I$123*$G122*_xlfn.XLOOKUP($D141,_xlfn.ANCHORARRAY($I$118),$L$118:$L$120,,0)*_xlfn.XLOOKUP($D141,$D$131:$D$133,G$131:G$133,,0)</f>
        <v>1.5046787345508023E-15</v>
      </c>
      <c r="H141" s="6" cm="1">
        <f t="array" ref="H141">+$I$123*$G122*_xlfn.XLOOKUP($D141,_xlfn.ANCHORARRAY($I$118),$L$118:$L$120,,0)*_xlfn.XLOOKUP($D141,$D$131:$D$133,H$131:H$133,,0)</f>
        <v>2.1734248387955984E-15</v>
      </c>
      <c r="I141" s="6" cm="1">
        <f t="array" ref="I141">+$I$123*$G122*_xlfn.XLOOKUP($D141,_xlfn.ANCHORARRAY($I$118),$L$118:$L$120,,0)*_xlfn.XLOOKUP($D141,$D$131:$D$133,I$131:I$133,,0)</f>
        <v>3.3437305212240245E-16</v>
      </c>
      <c r="J141" s="6" cm="1">
        <f t="array" ref="J141">+$I$123*$G122*_xlfn.XLOOKUP($D141,_xlfn.ANCHORARRAY($I$118),$L$118:$L$120,,0)*_xlfn.XLOOKUP($D141,$D$131:$D$133,J$131:J$133,,0)</f>
        <v>1.671865260611999E-15</v>
      </c>
      <c r="K141" s="6" cm="1">
        <f t="array" ref="K141">+$I$123*$G122*_xlfn.XLOOKUP($D141,_xlfn.ANCHORARRAY($I$118),$L$118:$L$120,,0)*_xlfn.XLOOKUP($D141,$D$131:$D$133,K$131:K$133,,0)</f>
        <v>1.5046787345508039E-15</v>
      </c>
      <c r="L141" s="6" cm="1">
        <f t="array" ref="L141">+$I$123*$G122*_xlfn.XLOOKUP($D141,_xlfn.ANCHORARRAY($I$118),$L$118:$L$120,,0)*_xlfn.XLOOKUP($D141,$D$131:$D$133,L$131:L$133,,0)</f>
        <v>2.3406113648567974E-15</v>
      </c>
      <c r="M141" s="7" cm="1">
        <f t="array" ref="M141">+$I$123*$G122*_xlfn.XLOOKUP($D141,_xlfn.ANCHORARRAY($I$118),$L$118:$L$120,,0)*_xlfn.XLOOKUP($D141,$D$131:$D$133,M$131:M$133,,0)</f>
        <v>1.3374922084896057E-15</v>
      </c>
      <c r="N141" s="18"/>
      <c r="P141" s="101">
        <v>1.0769230769230758</v>
      </c>
      <c r="Q141" s="101">
        <v>0.47115384615384609</v>
      </c>
      <c r="R141" s="101">
        <v>0.53846153846153855</v>
      </c>
      <c r="S141" s="101">
        <v>1.2115384615384608</v>
      </c>
      <c r="T141" s="101">
        <v>0.87499999999999922</v>
      </c>
      <c r="U141" s="101">
        <v>0.40384615384615341</v>
      </c>
      <c r="V141" s="101">
        <v>0.74038461538461509</v>
      </c>
      <c r="W141" s="101">
        <v>0.67307692307692224</v>
      </c>
      <c r="X141" s="101">
        <v>1.0096153846153855</v>
      </c>
    </row>
    <row r="142" spans="1:24" x14ac:dyDescent="0.3">
      <c r="C142" s="20" t="s">
        <v>10</v>
      </c>
      <c r="D142" s="25" t="str">
        <f t="shared" si="77"/>
        <v>Serv</v>
      </c>
      <c r="E142" s="5" cm="1">
        <f t="array" ref="E142">+$I$123*$G123*_xlfn.XLOOKUP($D142,_xlfn.ANCHORARRAY($I$118),$L$118:$L$120,,0)*_xlfn.XLOOKUP($D142,$D$131:$D$133,E$131:E$133,,0)</f>
        <v>1.076923076923076</v>
      </c>
      <c r="F142" s="6" cm="1">
        <f t="array" ref="F142">+$I$123*$G123*_xlfn.XLOOKUP($D142,_xlfn.ANCHORARRAY($I$118),$L$118:$L$120,,0)*_xlfn.XLOOKUP($D142,$D$131:$D$133,F$131:F$133,,0)</f>
        <v>0.47115384615384609</v>
      </c>
      <c r="G142" s="6" cm="1">
        <f t="array" ref="G142">+$I$123*$G123*_xlfn.XLOOKUP($D142,_xlfn.ANCHORARRAY($I$118),$L$118:$L$120,,0)*_xlfn.XLOOKUP($D142,$D$131:$D$133,G$131:G$133,,0)</f>
        <v>0.53846153846153855</v>
      </c>
      <c r="H142" s="6" cm="1">
        <f t="array" ref="H142">+$I$123*$G123*_xlfn.XLOOKUP($D142,_xlfn.ANCHORARRAY($I$118),$L$118:$L$120,,0)*_xlfn.XLOOKUP($D142,$D$131:$D$133,H$131:H$133,,0)</f>
        <v>1.2115384615384608</v>
      </c>
      <c r="I142" s="6" cm="1">
        <f t="array" ref="I142">+$I$123*$G123*_xlfn.XLOOKUP($D142,_xlfn.ANCHORARRAY($I$118),$L$118:$L$120,,0)*_xlfn.XLOOKUP($D142,$D$131:$D$133,I$131:I$133,,0)</f>
        <v>0.87499999999999922</v>
      </c>
      <c r="J142" s="6" cm="1">
        <f t="array" ref="J142">+$I$123*$G123*_xlfn.XLOOKUP($D142,_xlfn.ANCHORARRAY($I$118),$L$118:$L$120,,0)*_xlfn.XLOOKUP($D142,$D$131:$D$133,J$131:J$133,,0)</f>
        <v>0.40384615384615347</v>
      </c>
      <c r="K142" s="6" cm="1">
        <f t="array" ref="K142">+$I$123*$G123*_xlfn.XLOOKUP($D142,_xlfn.ANCHORARRAY($I$118),$L$118:$L$120,,0)*_xlfn.XLOOKUP($D142,$D$131:$D$133,K$131:K$133,,0)</f>
        <v>0.74038461538461509</v>
      </c>
      <c r="L142" s="6" cm="1">
        <f t="array" ref="L142">+$I$123*$G123*_xlfn.XLOOKUP($D142,_xlfn.ANCHORARRAY($I$118),$L$118:$L$120,,0)*_xlfn.XLOOKUP($D142,$D$131:$D$133,L$131:L$133,,0)</f>
        <v>0.67307692307692224</v>
      </c>
      <c r="M142" s="7" cm="1">
        <f t="array" ref="M142">+$I$123*$G123*_xlfn.XLOOKUP($D142,_xlfn.ANCHORARRAY($I$118),$L$118:$L$120,,0)*_xlfn.XLOOKUP($D142,$D$131:$D$133,M$131:M$133,,0)</f>
        <v>1.0096153846153852</v>
      </c>
      <c r="N142" s="18"/>
      <c r="P142" s="101">
        <v>1.1076923076923064</v>
      </c>
      <c r="Q142" s="101">
        <v>0.4846153846153845</v>
      </c>
      <c r="R142" s="101">
        <v>0.55384615384615388</v>
      </c>
      <c r="S142" s="101">
        <v>1.2461538461538453</v>
      </c>
      <c r="T142" s="101">
        <v>0.89999999999999913</v>
      </c>
      <c r="U142" s="101">
        <v>0.41538461538461491</v>
      </c>
      <c r="V142" s="101">
        <v>0.76153846153846116</v>
      </c>
      <c r="W142" s="101">
        <v>0.6923076923076914</v>
      </c>
      <c r="X142" s="101">
        <v>1.0384615384615392</v>
      </c>
    </row>
    <row r="143" spans="1:24" x14ac:dyDescent="0.3">
      <c r="C143" s="20" t="s">
        <v>11</v>
      </c>
      <c r="D143" s="25" t="str">
        <f t="shared" si="77"/>
        <v>Agr</v>
      </c>
      <c r="E143" s="5" cm="1">
        <f t="array" ref="E143">+$I$123*$G124*_xlfn.XLOOKUP($D143,_xlfn.ANCHORARRAY($I$118),$L$118:$L$120,,0)*_xlfn.XLOOKUP($D143,$D$131:$D$133,E$131:E$133,,0)</f>
        <v>1.5472527472527462</v>
      </c>
      <c r="F143" s="6" cm="1">
        <f t="array" ref="F143">+$I$123*$G124*_xlfn.XLOOKUP($D143,_xlfn.ANCHORARRAY($I$118),$L$118:$L$120,,0)*_xlfn.XLOOKUP($D143,$D$131:$D$133,F$131:F$133,,0)</f>
        <v>1.4065934065934071</v>
      </c>
      <c r="G143" s="6" cm="1">
        <f t="array" ref="G143">+$I$123*$G124*_xlfn.XLOOKUP($D143,_xlfn.ANCHORARRAY($I$118),$L$118:$L$120,,0)*_xlfn.XLOOKUP($D143,$D$131:$D$133,G$131:G$133,,0)</f>
        <v>1.5472527472527484</v>
      </c>
      <c r="H143" s="6" cm="1">
        <f t="array" ref="H143">+$I$123*$G124*_xlfn.XLOOKUP($D143,_xlfn.ANCHORARRAY($I$118),$L$118:$L$120,,0)*_xlfn.XLOOKUP($D143,$D$131:$D$133,H$131:H$133,,0)</f>
        <v>1.1956043956043951</v>
      </c>
      <c r="I143" s="6" cm="1">
        <f t="array" ref="I143">+$I$123*$G124*_xlfn.XLOOKUP($D143,_xlfn.ANCHORARRAY($I$118),$L$118:$L$120,,0)*_xlfn.XLOOKUP($D143,$D$131:$D$133,I$131:I$133,,0)</f>
        <v>1.4065934065934058</v>
      </c>
      <c r="J143" s="6" cm="1">
        <f t="array" ref="J143">+$I$123*$G124*_xlfn.XLOOKUP($D143,_xlfn.ANCHORARRAY($I$118),$L$118:$L$120,,0)*_xlfn.XLOOKUP($D143,$D$131:$D$133,J$131:J$133,,0)</f>
        <v>1.1956043956043947</v>
      </c>
      <c r="K143" s="6" cm="1">
        <f t="array" ref="K143">+$I$123*$G124*_xlfn.XLOOKUP($D143,_xlfn.ANCHORARRAY($I$118),$L$118:$L$120,,0)*_xlfn.XLOOKUP($D143,$D$131:$D$133,K$131:K$133,,0)</f>
        <v>1.4065934065934065</v>
      </c>
      <c r="L143" s="6" cm="1">
        <f t="array" ref="L143">+$I$123*$G124*_xlfn.XLOOKUP($D143,_xlfn.ANCHORARRAY($I$118),$L$118:$L$120,,0)*_xlfn.XLOOKUP($D143,$D$131:$D$133,L$131:L$133,,0)</f>
        <v>1.7582417582417569</v>
      </c>
      <c r="M143" s="7" cm="1">
        <f t="array" ref="M143">+$I$123*$G124*_xlfn.XLOOKUP($D143,_xlfn.ANCHORARRAY($I$118),$L$118:$L$120,,0)*_xlfn.XLOOKUP($D143,$D$131:$D$133,M$131:M$133,,0)</f>
        <v>1.3362637362637382</v>
      </c>
      <c r="N143" s="18"/>
    </row>
    <row r="144" spans="1:24" x14ac:dyDescent="0.3">
      <c r="C144" s="20" t="s">
        <v>11</v>
      </c>
      <c r="D144" s="25" t="str">
        <f t="shared" si="77"/>
        <v>Ind</v>
      </c>
      <c r="E144" s="5" cm="1">
        <f t="array" ref="E144">+$I$123*$G125*_xlfn.XLOOKUP($D144,_xlfn.ANCHORARRAY($I$118),$L$118:$L$120,,0)*_xlfn.XLOOKUP($D144,$D$131:$D$133,E$131:E$133,,0)</f>
        <v>0.78352941176470481</v>
      </c>
      <c r="F144" s="6" cm="1">
        <f t="array" ref="F144">+$I$123*$G125*_xlfn.XLOOKUP($D144,_xlfn.ANCHORARRAY($I$118),$L$118:$L$120,,0)*_xlfn.XLOOKUP($D144,$D$131:$D$133,F$131:F$133,,0)</f>
        <v>0.95764705882352763</v>
      </c>
      <c r="G144" s="6" cm="1">
        <f t="array" ref="G144">+$I$123*$G125*_xlfn.XLOOKUP($D144,_xlfn.ANCHORARRAY($I$118),$L$118:$L$120,,0)*_xlfn.XLOOKUP($D144,$D$131:$D$133,G$131:G$133,,0)</f>
        <v>0.78352941176470658</v>
      </c>
      <c r="H144" s="6" cm="1">
        <f t="array" ref="H144">+$I$123*$G125*_xlfn.XLOOKUP($D144,_xlfn.ANCHORARRAY($I$118),$L$118:$L$120,,0)*_xlfn.XLOOKUP($D144,$D$131:$D$133,H$131:H$133,,0)</f>
        <v>1.1317647058823515</v>
      </c>
      <c r="I144" s="6" cm="1">
        <f t="array" ref="I144">+$I$123*$G125*_xlfn.XLOOKUP($D144,_xlfn.ANCHORARRAY($I$118),$L$118:$L$120,,0)*_xlfn.XLOOKUP($D144,$D$131:$D$133,I$131:I$133,,0)</f>
        <v>0.17411764705882471</v>
      </c>
      <c r="J144" s="6" cm="1">
        <f t="array" ref="J144">+$I$123*$G125*_xlfn.XLOOKUP($D144,_xlfn.ANCHORARRAY($I$118),$L$118:$L$120,,0)*_xlfn.XLOOKUP($D144,$D$131:$D$133,J$131:J$133,,0)</f>
        <v>0.87058823529411655</v>
      </c>
      <c r="K144" s="6" cm="1">
        <f t="array" ref="K144">+$I$123*$G125*_xlfn.XLOOKUP($D144,_xlfn.ANCHORARRAY($I$118),$L$118:$L$120,,0)*_xlfn.XLOOKUP($D144,$D$131:$D$133,K$131:K$133,,0)</f>
        <v>0.78352941176470736</v>
      </c>
      <c r="L144" s="6" cm="1">
        <f t="array" ref="L144">+$I$123*$G125*_xlfn.XLOOKUP($D144,_xlfn.ANCHORARRAY($I$118),$L$118:$L$120,,0)*_xlfn.XLOOKUP($D144,$D$131:$D$133,L$131:L$133,,0)</f>
        <v>1.2188235294117626</v>
      </c>
      <c r="M144" s="7" cm="1">
        <f t="array" ref="M144">+$I$123*$G125*_xlfn.XLOOKUP($D144,_xlfn.ANCHORARRAY($I$118),$L$118:$L$120,,0)*_xlfn.XLOOKUP($D144,$D$131:$D$133,M$131:M$133,,0)</f>
        <v>0.69647058823529662</v>
      </c>
      <c r="N144" s="18"/>
    </row>
    <row r="145" spans="3:23" x14ac:dyDescent="0.3">
      <c r="C145" s="20" t="s">
        <v>11</v>
      </c>
      <c r="D145" s="25" t="str">
        <f t="shared" si="77"/>
        <v>Serv</v>
      </c>
      <c r="E145" s="9" cm="1">
        <f t="array" ref="E145">+$I$123*$G126*_xlfn.XLOOKUP($D145,_xlfn.ANCHORARRAY($I$118),$L$118:$L$120,,0)*_xlfn.XLOOKUP($D145,$D$131:$D$133,E$131:E$133,,0)</f>
        <v>1.1076923076923064</v>
      </c>
      <c r="F145" s="10" cm="1">
        <f t="array" ref="F145">+$I$123*$G126*_xlfn.XLOOKUP($D145,_xlfn.ANCHORARRAY($I$118),$L$118:$L$120,,0)*_xlfn.XLOOKUP($D145,$D$131:$D$133,F$131:F$133,,0)</f>
        <v>0.4846153846153845</v>
      </c>
      <c r="G145" s="10" cm="1">
        <f t="array" ref="G145">+$I$123*$G126*_xlfn.XLOOKUP($D145,_xlfn.ANCHORARRAY($I$118),$L$118:$L$120,,0)*_xlfn.XLOOKUP($D145,$D$131:$D$133,G$131:G$133,,0)</f>
        <v>0.55384615384615388</v>
      </c>
      <c r="H145" s="10" cm="1">
        <f t="array" ref="H145">+$I$123*$G126*_xlfn.XLOOKUP($D145,_xlfn.ANCHORARRAY($I$118),$L$118:$L$120,,0)*_xlfn.XLOOKUP($D145,$D$131:$D$133,H$131:H$133,,0)</f>
        <v>1.2461538461538453</v>
      </c>
      <c r="I145" s="10" cm="1">
        <f t="array" ref="I145">+$I$123*$G126*_xlfn.XLOOKUP($D145,_xlfn.ANCHORARRAY($I$118),$L$118:$L$120,,0)*_xlfn.XLOOKUP($D145,$D$131:$D$133,I$131:I$133,,0)</f>
        <v>0.89999999999999913</v>
      </c>
      <c r="J145" s="10" cm="1">
        <f t="array" ref="J145">+$I$123*$G126*_xlfn.XLOOKUP($D145,_xlfn.ANCHORARRAY($I$118),$L$118:$L$120,,0)*_xlfn.XLOOKUP($D145,$D$131:$D$133,J$131:J$133,,0)</f>
        <v>0.41538461538461496</v>
      </c>
      <c r="K145" s="10" cm="1">
        <f t="array" ref="K145">+$I$123*$G126*_xlfn.XLOOKUP($D145,_xlfn.ANCHORARRAY($I$118),$L$118:$L$120,,0)*_xlfn.XLOOKUP($D145,$D$131:$D$133,K$131:K$133,,0)</f>
        <v>0.76153846153846116</v>
      </c>
      <c r="L145" s="10" cm="1">
        <f t="array" ref="L145">+$I$123*$G126*_xlfn.XLOOKUP($D145,_xlfn.ANCHORARRAY($I$118),$L$118:$L$120,,0)*_xlfn.XLOOKUP($D145,$D$131:$D$133,L$131:L$133,,0)</f>
        <v>0.6923076923076914</v>
      </c>
      <c r="M145" s="11" cm="1">
        <f t="array" ref="M145">+$I$123*$G126*_xlfn.XLOOKUP($D145,_xlfn.ANCHORARRAY($I$118),$L$118:$L$120,,0)*_xlfn.XLOOKUP($D145,$D$131:$D$133,M$131:M$133,,0)</f>
        <v>1.0384615384615392</v>
      </c>
      <c r="N145" s="18"/>
    </row>
    <row r="146" spans="3:23" x14ac:dyDescent="0.3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3" x14ac:dyDescent="0.3">
      <c r="O147" s="19"/>
    </row>
    <row r="148" spans="3:23" ht="15" thickBot="1" x14ac:dyDescent="0.35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3" ht="15" thickBot="1" x14ac:dyDescent="0.35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3" x14ac:dyDescent="0.3">
      <c r="C150" s="20" t="s">
        <v>1</v>
      </c>
      <c r="D150" s="28" t="s">
        <v>51</v>
      </c>
      <c r="E150" s="1">
        <f>+MIN(E78,E94)+E137</f>
        <v>8</v>
      </c>
      <c r="F150" s="2">
        <f t="shared" ref="F150:M150" si="78">+MIN(F78,F94)+F137</f>
        <v>4</v>
      </c>
      <c r="G150" s="2">
        <f t="shared" si="78"/>
        <v>8</v>
      </c>
      <c r="H150" s="2">
        <f t="shared" si="78"/>
        <v>0.8</v>
      </c>
      <c r="I150" s="2">
        <f t="shared" si="78"/>
        <v>0</v>
      </c>
      <c r="J150" s="2">
        <f t="shared" si="78"/>
        <v>6.4</v>
      </c>
      <c r="K150" s="2">
        <f t="shared" si="78"/>
        <v>2.4000000000000004</v>
      </c>
      <c r="L150" s="2">
        <f t="shared" si="78"/>
        <v>5.6000000000000005</v>
      </c>
      <c r="M150" s="3">
        <f t="shared" si="78"/>
        <v>1.6</v>
      </c>
      <c r="N150" s="19">
        <f>+E150-E5</f>
        <v>-2</v>
      </c>
      <c r="O150" s="19">
        <f t="shared" ref="O150:V150" si="79">+F150-F5</f>
        <v>-1</v>
      </c>
      <c r="P150" s="19">
        <f t="shared" si="79"/>
        <v>-2</v>
      </c>
      <c r="Q150" s="19">
        <f t="shared" si="79"/>
        <v>-0.19999999999999996</v>
      </c>
      <c r="R150" s="19">
        <f t="shared" si="79"/>
        <v>0</v>
      </c>
      <c r="S150" s="19">
        <f t="shared" si="79"/>
        <v>-1.5999999999999996</v>
      </c>
      <c r="T150" s="19">
        <f t="shared" si="79"/>
        <v>-0.59999999999999964</v>
      </c>
      <c r="U150" s="19">
        <f t="shared" si="79"/>
        <v>-1.3999999999999995</v>
      </c>
      <c r="V150" s="19">
        <f t="shared" si="79"/>
        <v>-0.39999999999999991</v>
      </c>
      <c r="W150" s="16">
        <f>+SUM(N150:V150)</f>
        <v>-9.1999999999999993</v>
      </c>
    </row>
    <row r="151" spans="3:23" x14ac:dyDescent="0.3">
      <c r="C151" s="20" t="s">
        <v>1</v>
      </c>
      <c r="D151" s="25" t="s">
        <v>52</v>
      </c>
      <c r="E151" s="5">
        <f t="shared" ref="E151:M151" si="80">+MIN(E79,E95)+E138</f>
        <v>7.4164705882352928</v>
      </c>
      <c r="F151" s="6">
        <f t="shared" si="80"/>
        <v>3.6423529411764681</v>
      </c>
      <c r="G151" s="6">
        <f t="shared" si="80"/>
        <v>8.2164705882352944</v>
      </c>
      <c r="H151" s="6">
        <f t="shared" si="80"/>
        <v>4.668235294117645</v>
      </c>
      <c r="I151" s="6">
        <f t="shared" si="80"/>
        <v>1.8258823529411781</v>
      </c>
      <c r="J151" s="6">
        <f t="shared" si="80"/>
        <v>9.1294117647058801</v>
      </c>
      <c r="K151" s="6">
        <f t="shared" si="80"/>
        <v>1.8164705882352958</v>
      </c>
      <c r="L151" s="6">
        <f t="shared" si="80"/>
        <v>4.7811764705882327</v>
      </c>
      <c r="M151" s="7">
        <f t="shared" si="80"/>
        <v>6.5035294117647098</v>
      </c>
      <c r="N151" s="19">
        <f t="shared" ref="N151:N158" si="81">+E151-E6</f>
        <v>-0.58352941176470718</v>
      </c>
      <c r="O151" s="19">
        <f t="shared" ref="O151:O158" si="82">+F151-F6</f>
        <v>0.64235294117646813</v>
      </c>
      <c r="P151" s="19">
        <f t="shared" ref="P151:P158" si="83">+G151-G6</f>
        <v>-0.78352941176470559</v>
      </c>
      <c r="Q151" s="19">
        <f t="shared" ref="Q151:Q158" si="84">+H151-H6</f>
        <v>0.66823529411764504</v>
      </c>
      <c r="R151" s="19">
        <f t="shared" ref="R151:R158" si="85">+I151-I6</f>
        <v>-0.17411764705882193</v>
      </c>
      <c r="S151" s="19">
        <f t="shared" ref="S151:S158" si="86">+J151-J6</f>
        <v>-0.87058823529411988</v>
      </c>
      <c r="T151" s="19">
        <f t="shared" ref="T151:T158" si="87">+K151-K6</f>
        <v>0.81647058823529584</v>
      </c>
      <c r="U151" s="19">
        <f t="shared" ref="U151:U158" si="88">+L151-L6</f>
        <v>0.7811764705882327</v>
      </c>
      <c r="V151" s="19">
        <f t="shared" ref="V151:V158" si="89">+M151-M6</f>
        <v>-0.49647058823529022</v>
      </c>
      <c r="W151" s="16">
        <f t="shared" ref="W151:W158" si="90">+SUM(N151:V151)</f>
        <v>-3.1086244689504383E-15</v>
      </c>
    </row>
    <row r="152" spans="3:23" x14ac:dyDescent="0.3">
      <c r="C152" s="20" t="s">
        <v>1</v>
      </c>
      <c r="D152" s="25" t="s">
        <v>53</v>
      </c>
      <c r="E152" s="5">
        <f t="shared" ref="E152:M152" si="91">+MIN(E80,E96)+E139</f>
        <v>1.0153846153846147</v>
      </c>
      <c r="F152" s="6">
        <f t="shared" si="91"/>
        <v>0.44423076923076921</v>
      </c>
      <c r="G152" s="6">
        <f t="shared" si="91"/>
        <v>0.50769230769230789</v>
      </c>
      <c r="H152" s="6">
        <f t="shared" si="91"/>
        <v>6.7423076923076923</v>
      </c>
      <c r="I152" s="6">
        <f t="shared" si="91"/>
        <v>4.0249999999999995</v>
      </c>
      <c r="J152" s="6">
        <f t="shared" si="91"/>
        <v>3.5807692307692305</v>
      </c>
      <c r="K152" s="6">
        <f t="shared" si="91"/>
        <v>6.2980769230769234</v>
      </c>
      <c r="L152" s="6">
        <f t="shared" si="91"/>
        <v>3.8346153846153843</v>
      </c>
      <c r="M152" s="7">
        <f t="shared" si="91"/>
        <v>6.5519230769230781</v>
      </c>
      <c r="N152" s="19">
        <f t="shared" si="81"/>
        <v>1.0153846153846147</v>
      </c>
      <c r="O152" s="19">
        <f t="shared" si="82"/>
        <v>0.44423076923076921</v>
      </c>
      <c r="P152" s="19">
        <f t="shared" si="83"/>
        <v>0.50769230769230789</v>
      </c>
      <c r="Q152" s="19">
        <f t="shared" si="84"/>
        <v>-0.25769230769230766</v>
      </c>
      <c r="R152" s="19">
        <f t="shared" si="85"/>
        <v>2.4999999999999467E-2</v>
      </c>
      <c r="S152" s="19">
        <f t="shared" si="86"/>
        <v>-0.41923076923076952</v>
      </c>
      <c r="T152" s="19">
        <f t="shared" si="87"/>
        <v>-0.70192307692307665</v>
      </c>
      <c r="U152" s="19">
        <f t="shared" si="88"/>
        <v>-0.16538461538461569</v>
      </c>
      <c r="V152" s="19">
        <f t="shared" si="89"/>
        <v>-0.44807692307692193</v>
      </c>
      <c r="W152" s="16">
        <f t="shared" si="90"/>
        <v>0</v>
      </c>
    </row>
    <row r="153" spans="3:23" x14ac:dyDescent="0.3">
      <c r="C153" s="20" t="s">
        <v>10</v>
      </c>
      <c r="D153" s="25" t="str">
        <f>+D150</f>
        <v>Agr</v>
      </c>
      <c r="E153" s="5">
        <f t="shared" ref="E153:M153" si="92">+MIN(E81,E97)+E140</f>
        <v>8.9406593406593391</v>
      </c>
      <c r="F153" s="6">
        <f t="shared" si="92"/>
        <v>5.5824175824175821</v>
      </c>
      <c r="G153" s="6">
        <f t="shared" si="92"/>
        <v>4.9406593406593418</v>
      </c>
      <c r="H153" s="6">
        <f t="shared" si="92"/>
        <v>6.9450549450549444</v>
      </c>
      <c r="I153" s="6">
        <f t="shared" si="92"/>
        <v>9.5824175824175803</v>
      </c>
      <c r="J153" s="6">
        <f t="shared" si="92"/>
        <v>8.5450549450549431</v>
      </c>
      <c r="K153" s="6">
        <f t="shared" si="92"/>
        <v>9.5824175824175821</v>
      </c>
      <c r="L153" s="6">
        <f t="shared" si="92"/>
        <v>9.1780219780219756</v>
      </c>
      <c r="M153" s="7">
        <f t="shared" si="92"/>
        <v>8.7032967032967044</v>
      </c>
      <c r="N153" s="19">
        <f t="shared" si="81"/>
        <v>-5.9340659340660906E-2</v>
      </c>
      <c r="O153" s="19">
        <f t="shared" si="82"/>
        <v>0.58241758241758212</v>
      </c>
      <c r="P153" s="19">
        <f t="shared" si="83"/>
        <v>0.94065934065934176</v>
      </c>
      <c r="Q153" s="19">
        <f t="shared" si="84"/>
        <v>-5.4945054945055638E-2</v>
      </c>
      <c r="R153" s="19">
        <f t="shared" si="85"/>
        <v>-0.41758241758241965</v>
      </c>
      <c r="S153" s="19">
        <f t="shared" si="86"/>
        <v>-0.45494505494505688</v>
      </c>
      <c r="T153" s="19">
        <f t="shared" si="87"/>
        <v>-0.41758241758241788</v>
      </c>
      <c r="U153" s="19">
        <f t="shared" si="88"/>
        <v>0.17802197802197561</v>
      </c>
      <c r="V153" s="19">
        <f t="shared" si="89"/>
        <v>-0.29670329670329565</v>
      </c>
      <c r="W153" s="16">
        <f t="shared" si="90"/>
        <v>-7.1054273576010019E-15</v>
      </c>
    </row>
    <row r="154" spans="3:23" x14ac:dyDescent="0.3">
      <c r="C154" s="20" t="s">
        <v>10</v>
      </c>
      <c r="D154" s="25" t="str">
        <f t="shared" ref="D154:D158" si="93">+D151</f>
        <v>Ind</v>
      </c>
      <c r="E154" s="5">
        <f t="shared" ref="E154:M154" si="94">+MIN(E82,E98)+E141</f>
        <v>4</v>
      </c>
      <c r="F154" s="6">
        <f t="shared" si="94"/>
        <v>2.0000000000000013</v>
      </c>
      <c r="G154" s="6">
        <f t="shared" si="94"/>
        <v>3.0000000000000004</v>
      </c>
      <c r="H154" s="6">
        <f t="shared" si="94"/>
        <v>6</v>
      </c>
      <c r="I154" s="6">
        <f t="shared" si="94"/>
        <v>6.9999999999999973</v>
      </c>
      <c r="J154" s="6">
        <f t="shared" si="94"/>
        <v>4</v>
      </c>
      <c r="K154" s="6">
        <f t="shared" si="94"/>
        <v>8.9999999999999982</v>
      </c>
      <c r="L154" s="6">
        <f t="shared" si="94"/>
        <v>2.0000000000000018</v>
      </c>
      <c r="M154" s="7">
        <f t="shared" si="94"/>
        <v>7.9999999999999991</v>
      </c>
      <c r="N154" s="19">
        <f t="shared" si="81"/>
        <v>0</v>
      </c>
      <c r="O154" s="19">
        <f t="shared" si="82"/>
        <v>0</v>
      </c>
      <c r="P154" s="19">
        <f t="shared" si="83"/>
        <v>0</v>
      </c>
      <c r="Q154" s="19">
        <f t="shared" si="84"/>
        <v>0</v>
      </c>
      <c r="R154" s="19">
        <f t="shared" si="85"/>
        <v>0</v>
      </c>
      <c r="S154" s="19">
        <f t="shared" si="86"/>
        <v>0</v>
      </c>
      <c r="T154" s="19">
        <f t="shared" si="87"/>
        <v>0</v>
      </c>
      <c r="U154" s="19">
        <f t="shared" si="88"/>
        <v>0</v>
      </c>
      <c r="V154" s="19">
        <f t="shared" si="89"/>
        <v>0</v>
      </c>
      <c r="W154" s="16">
        <f t="shared" si="90"/>
        <v>0</v>
      </c>
    </row>
    <row r="155" spans="3:23" x14ac:dyDescent="0.3">
      <c r="C155" s="20" t="s">
        <v>10</v>
      </c>
      <c r="D155" s="25" t="str">
        <f t="shared" si="93"/>
        <v>Serv</v>
      </c>
      <c r="E155" s="5">
        <f t="shared" ref="E155:M155" si="95">+MIN(E83,E99)+E142</f>
        <v>5.8769230769230765</v>
      </c>
      <c r="F155" s="6">
        <f t="shared" si="95"/>
        <v>4.4711538461538458</v>
      </c>
      <c r="G155" s="6">
        <f t="shared" si="95"/>
        <v>3.7384615384615385</v>
      </c>
      <c r="H155" s="6">
        <f t="shared" si="95"/>
        <v>2.0115384615384606</v>
      </c>
      <c r="I155" s="6">
        <f t="shared" si="95"/>
        <v>8.0749999999999993</v>
      </c>
      <c r="J155" s="6">
        <f t="shared" si="95"/>
        <v>2.0038461538461534</v>
      </c>
      <c r="K155" s="6">
        <f t="shared" si="95"/>
        <v>1.5403846153846152</v>
      </c>
      <c r="L155" s="6">
        <f t="shared" si="95"/>
        <v>5.4730769230769232</v>
      </c>
      <c r="M155" s="7">
        <f t="shared" si="95"/>
        <v>1.8096153846153853</v>
      </c>
      <c r="N155" s="19">
        <f t="shared" si="81"/>
        <v>-0.12307692307692353</v>
      </c>
      <c r="O155" s="19">
        <f t="shared" si="82"/>
        <v>-0.52884615384615419</v>
      </c>
      <c r="P155" s="19">
        <f t="shared" si="83"/>
        <v>-0.2615384615384615</v>
      </c>
      <c r="Q155" s="19">
        <f t="shared" si="84"/>
        <v>1.0115384615384606</v>
      </c>
      <c r="R155" s="19">
        <f t="shared" si="85"/>
        <v>-0.92500000000000071</v>
      </c>
      <c r="S155" s="19">
        <f t="shared" si="86"/>
        <v>3.8461538461533884E-3</v>
      </c>
      <c r="T155" s="19">
        <f t="shared" si="87"/>
        <v>0.54038461538461524</v>
      </c>
      <c r="U155" s="19">
        <f t="shared" si="88"/>
        <v>-0.52692307692307683</v>
      </c>
      <c r="V155" s="19">
        <f t="shared" si="89"/>
        <v>0.80961538461538529</v>
      </c>
      <c r="W155" s="16">
        <f t="shared" si="90"/>
        <v>-2.2204460492503131E-15</v>
      </c>
    </row>
    <row r="156" spans="3:23" x14ac:dyDescent="0.3">
      <c r="C156" s="20" t="s">
        <v>11</v>
      </c>
      <c r="D156" s="25" t="str">
        <f t="shared" si="93"/>
        <v>Agr</v>
      </c>
      <c r="E156" s="5">
        <f t="shared" ref="E156:M156" si="96">+MIN(E84,E100)+E143</f>
        <v>3.9472527472527466</v>
      </c>
      <c r="F156" s="6">
        <f t="shared" si="96"/>
        <v>9.4065934065934069</v>
      </c>
      <c r="G156" s="6">
        <f t="shared" si="96"/>
        <v>7.9472527472527492</v>
      </c>
      <c r="H156" s="6">
        <f t="shared" si="96"/>
        <v>8.395604395604396</v>
      </c>
      <c r="I156" s="6">
        <f t="shared" si="96"/>
        <v>9.4065934065934051</v>
      </c>
      <c r="J156" s="6">
        <f t="shared" si="96"/>
        <v>1.1956043956043947</v>
      </c>
      <c r="K156" s="6">
        <f t="shared" si="96"/>
        <v>7.0065934065934066</v>
      </c>
      <c r="L156" s="6">
        <f t="shared" si="96"/>
        <v>8.9582417582417566</v>
      </c>
      <c r="M156" s="7">
        <f t="shared" si="96"/>
        <v>7.736263736263739</v>
      </c>
      <c r="N156" s="19">
        <f t="shared" si="81"/>
        <v>0.94725274725274655</v>
      </c>
      <c r="O156" s="19">
        <f t="shared" si="82"/>
        <v>-0.59340659340659307</v>
      </c>
      <c r="P156" s="19">
        <f t="shared" si="83"/>
        <v>-5.2747252747250784E-2</v>
      </c>
      <c r="Q156" s="19">
        <f t="shared" si="84"/>
        <v>-0.60439560439560402</v>
      </c>
      <c r="R156" s="19">
        <f t="shared" si="85"/>
        <v>-0.59340659340659485</v>
      </c>
      <c r="S156" s="19">
        <f t="shared" si="86"/>
        <v>1.1956043956043947</v>
      </c>
      <c r="T156" s="19">
        <f t="shared" si="87"/>
        <v>6.59340659340657E-3</v>
      </c>
      <c r="U156" s="19">
        <f t="shared" si="88"/>
        <v>-4.1758241758243386E-2</v>
      </c>
      <c r="V156" s="19">
        <f t="shared" si="89"/>
        <v>-0.26373626373626102</v>
      </c>
      <c r="W156" s="16">
        <f t="shared" si="90"/>
        <v>6.6613381477509392E-16</v>
      </c>
    </row>
    <row r="157" spans="3:23" x14ac:dyDescent="0.3">
      <c r="C157" s="20" t="s">
        <v>11</v>
      </c>
      <c r="D157" s="25" t="str">
        <f t="shared" si="93"/>
        <v>Ind</v>
      </c>
      <c r="E157" s="5">
        <f t="shared" ref="E157:M157" si="97">+MIN(E85,E101)+E144</f>
        <v>1.583529411764705</v>
      </c>
      <c r="F157" s="6">
        <f t="shared" si="97"/>
        <v>7.3576470588235283</v>
      </c>
      <c r="G157" s="6">
        <f t="shared" si="97"/>
        <v>0.78352941176470658</v>
      </c>
      <c r="H157" s="6">
        <f t="shared" si="97"/>
        <v>8.3317647058823514</v>
      </c>
      <c r="I157" s="6">
        <f t="shared" si="97"/>
        <v>0.17411764705882471</v>
      </c>
      <c r="J157" s="6">
        <f t="shared" si="97"/>
        <v>0.87058823529411655</v>
      </c>
      <c r="K157" s="6">
        <f t="shared" si="97"/>
        <v>7.1835294117647077</v>
      </c>
      <c r="L157" s="6">
        <f t="shared" si="97"/>
        <v>9.2188235294117629</v>
      </c>
      <c r="M157" s="7">
        <f t="shared" si="97"/>
        <v>1.4964705882352967</v>
      </c>
      <c r="N157" s="19">
        <f t="shared" si="81"/>
        <v>0.58352941176470496</v>
      </c>
      <c r="O157" s="19">
        <f t="shared" si="82"/>
        <v>-0.64235294117647168</v>
      </c>
      <c r="P157" s="19">
        <f t="shared" si="83"/>
        <v>0.78352941176470658</v>
      </c>
      <c r="Q157" s="19">
        <f t="shared" si="84"/>
        <v>-0.66823529411764859</v>
      </c>
      <c r="R157" s="19">
        <f t="shared" si="85"/>
        <v>0.17411764705882471</v>
      </c>
      <c r="S157" s="19">
        <f t="shared" si="86"/>
        <v>0.87058823529411655</v>
      </c>
      <c r="T157" s="19">
        <f t="shared" si="87"/>
        <v>-0.81647058823529228</v>
      </c>
      <c r="U157" s="19">
        <f t="shared" si="88"/>
        <v>-0.78117647058823714</v>
      </c>
      <c r="V157" s="19">
        <f t="shared" si="89"/>
        <v>0.49647058823529666</v>
      </c>
      <c r="W157" s="16">
        <f t="shared" si="90"/>
        <v>0</v>
      </c>
    </row>
    <row r="158" spans="3:23" x14ac:dyDescent="0.3">
      <c r="C158" s="20" t="s">
        <v>11</v>
      </c>
      <c r="D158" s="25" t="str">
        <f t="shared" si="93"/>
        <v>Serv</v>
      </c>
      <c r="E158" s="9">
        <f t="shared" ref="E158:M158" si="98">+MIN(E86,E102)+E145</f>
        <v>9.1076923076923073</v>
      </c>
      <c r="F158" s="10">
        <f t="shared" si="98"/>
        <v>2.0846153846153848</v>
      </c>
      <c r="G158" s="10">
        <f t="shared" si="98"/>
        <v>3.7538461538461538</v>
      </c>
      <c r="H158" s="10">
        <f t="shared" si="98"/>
        <v>9.2461538461538453</v>
      </c>
      <c r="I158" s="10">
        <f t="shared" si="98"/>
        <v>0.89999999999999913</v>
      </c>
      <c r="J158" s="10">
        <f t="shared" si="98"/>
        <v>0.41538461538461496</v>
      </c>
      <c r="K158" s="10">
        <f t="shared" si="98"/>
        <v>3.1615384615384614</v>
      </c>
      <c r="L158" s="10">
        <f t="shared" si="98"/>
        <v>0.6923076923076914</v>
      </c>
      <c r="M158" s="11">
        <f t="shared" si="98"/>
        <v>6.6384615384615397</v>
      </c>
      <c r="N158" s="19">
        <f t="shared" si="81"/>
        <v>-0.89230769230769269</v>
      </c>
      <c r="O158" s="19">
        <f t="shared" si="82"/>
        <v>8.4615384615384759E-2</v>
      </c>
      <c r="P158" s="19">
        <f t="shared" si="83"/>
        <v>-0.24615384615384617</v>
      </c>
      <c r="Q158" s="19">
        <f t="shared" si="84"/>
        <v>-0.75384615384615472</v>
      </c>
      <c r="R158" s="19">
        <f t="shared" si="85"/>
        <v>0.89999999999999913</v>
      </c>
      <c r="S158" s="19">
        <f t="shared" si="86"/>
        <v>0.41538461538461496</v>
      </c>
      <c r="T158" s="19">
        <f t="shared" si="87"/>
        <v>0.16153846153846141</v>
      </c>
      <c r="U158" s="19">
        <f t="shared" si="88"/>
        <v>0.6923076923076914</v>
      </c>
      <c r="V158" s="19">
        <f t="shared" si="89"/>
        <v>-0.36153846153846025</v>
      </c>
      <c r="W158" s="16">
        <f t="shared" si="90"/>
        <v>-2.1649348980190553E-15</v>
      </c>
    </row>
    <row r="159" spans="3:23" x14ac:dyDescent="0.3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406.7999999999999</v>
      </c>
      <c r="O159" s="18"/>
    </row>
    <row r="161" spans="1:23" x14ac:dyDescent="0.3">
      <c r="A161" s="66"/>
    </row>
    <row r="162" spans="1:23" ht="15" thickBot="1" x14ac:dyDescent="0.35">
      <c r="A162" s="68" t="s">
        <v>41</v>
      </c>
      <c r="E162" s="20" t="s">
        <v>1</v>
      </c>
      <c r="F162" s="20" t="s">
        <v>1</v>
      </c>
      <c r="G162" s="20" t="s">
        <v>1</v>
      </c>
      <c r="H162" s="20" t="s">
        <v>10</v>
      </c>
      <c r="I162" s="20" t="s">
        <v>10</v>
      </c>
      <c r="J162" s="20" t="s">
        <v>10</v>
      </c>
      <c r="K162" s="20" t="s">
        <v>11</v>
      </c>
      <c r="L162" s="20" t="s">
        <v>11</v>
      </c>
      <c r="M162" s="20" t="s">
        <v>11</v>
      </c>
    </row>
    <row r="163" spans="1:23" ht="15" thickBot="1" x14ac:dyDescent="0.35">
      <c r="D163" s="23" t="s">
        <v>42</v>
      </c>
      <c r="E163" s="27" t="s">
        <v>51</v>
      </c>
      <c r="F163" s="26" t="s">
        <v>52</v>
      </c>
      <c r="G163" s="26" t="s">
        <v>53</v>
      </c>
      <c r="H163" s="26" t="s">
        <v>51</v>
      </c>
      <c r="I163" s="26" t="s">
        <v>52</v>
      </c>
      <c r="J163" s="26" t="s">
        <v>53</v>
      </c>
      <c r="K163" s="26" t="s">
        <v>51</v>
      </c>
      <c r="L163" s="26" t="s">
        <v>52</v>
      </c>
      <c r="M163" s="26" t="s">
        <v>53</v>
      </c>
    </row>
    <row r="164" spans="1:23" x14ac:dyDescent="0.3">
      <c r="D164" s="28" t="str" cm="1">
        <f t="array" ref="D164:D166">+_xlfn.UNIQUE($D$150:$D$158)</f>
        <v>Agr</v>
      </c>
      <c r="E164" s="1">
        <f>+SUMIF($D$5:$D$13,$D164,E$5:E$13)</f>
        <v>22</v>
      </c>
      <c r="F164" s="2">
        <f t="shared" ref="F164:M166" si="99">+SUMIF($D$5:$D$13,$D164,F$5:F$13)</f>
        <v>20</v>
      </c>
      <c r="G164" s="2">
        <f t="shared" si="99"/>
        <v>22</v>
      </c>
      <c r="H164" s="2">
        <f t="shared" si="99"/>
        <v>17</v>
      </c>
      <c r="I164" s="2">
        <f t="shared" si="99"/>
        <v>20</v>
      </c>
      <c r="J164" s="2">
        <f t="shared" si="99"/>
        <v>17</v>
      </c>
      <c r="K164" s="2">
        <f t="shared" si="99"/>
        <v>20</v>
      </c>
      <c r="L164" s="2">
        <f t="shared" si="99"/>
        <v>25</v>
      </c>
      <c r="M164" s="3">
        <f t="shared" si="99"/>
        <v>19</v>
      </c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3">
      <c r="D165" s="25" t="str">
        <v>Ind</v>
      </c>
      <c r="E165" s="5">
        <f t="shared" ref="E165:E166" si="100">+SUMIF($D$5:$D$13,$D165,E$5:E$13)</f>
        <v>13</v>
      </c>
      <c r="F165" s="6">
        <f t="shared" si="99"/>
        <v>13</v>
      </c>
      <c r="G165" s="6">
        <f t="shared" si="99"/>
        <v>12</v>
      </c>
      <c r="H165" s="6">
        <f t="shared" si="99"/>
        <v>19</v>
      </c>
      <c r="I165" s="6">
        <f t="shared" si="99"/>
        <v>9</v>
      </c>
      <c r="J165" s="6">
        <f t="shared" si="99"/>
        <v>14</v>
      </c>
      <c r="K165" s="6">
        <f t="shared" si="99"/>
        <v>18</v>
      </c>
      <c r="L165" s="6">
        <f t="shared" si="99"/>
        <v>16</v>
      </c>
      <c r="M165" s="7">
        <f t="shared" si="99"/>
        <v>16</v>
      </c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x14ac:dyDescent="0.3">
      <c r="D166" s="25" t="str">
        <v>Serv</v>
      </c>
      <c r="E166" s="9">
        <f t="shared" si="100"/>
        <v>16</v>
      </c>
      <c r="F166" s="10">
        <f t="shared" si="99"/>
        <v>7</v>
      </c>
      <c r="G166" s="10">
        <f t="shared" si="99"/>
        <v>8</v>
      </c>
      <c r="H166" s="10">
        <f t="shared" si="99"/>
        <v>18</v>
      </c>
      <c r="I166" s="10">
        <f t="shared" si="99"/>
        <v>13</v>
      </c>
      <c r="J166" s="10">
        <f t="shared" si="99"/>
        <v>6</v>
      </c>
      <c r="K166" s="10">
        <f t="shared" si="99"/>
        <v>11</v>
      </c>
      <c r="L166" s="10">
        <f t="shared" si="99"/>
        <v>10</v>
      </c>
      <c r="M166" s="11">
        <f t="shared" si="99"/>
        <v>15</v>
      </c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x14ac:dyDescent="0.3">
      <c r="D167" s="25" t="s">
        <v>8</v>
      </c>
      <c r="E167" s="70">
        <f>+E15</f>
        <v>71</v>
      </c>
      <c r="F167" s="71">
        <f t="shared" ref="F167:M167" si="101">+F15</f>
        <v>55</v>
      </c>
      <c r="G167" s="71">
        <f t="shared" si="101"/>
        <v>47</v>
      </c>
      <c r="H167" s="71">
        <f t="shared" si="101"/>
        <v>82</v>
      </c>
      <c r="I167" s="71">
        <f t="shared" si="101"/>
        <v>50</v>
      </c>
      <c r="J167" s="71">
        <f t="shared" si="101"/>
        <v>55</v>
      </c>
      <c r="K167" s="71">
        <f t="shared" si="101"/>
        <v>79</v>
      </c>
      <c r="L167" s="71">
        <f t="shared" si="101"/>
        <v>65</v>
      </c>
      <c r="M167" s="72">
        <f t="shared" si="101"/>
        <v>60</v>
      </c>
      <c r="N167" s="19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x14ac:dyDescent="0.3">
      <c r="E168" s="18"/>
      <c r="F168" s="18"/>
      <c r="G168" s="18"/>
      <c r="H168" s="18"/>
      <c r="I168" s="18"/>
      <c r="J168" s="18"/>
      <c r="K168" s="18"/>
      <c r="L168" s="18"/>
      <c r="M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" thickBot="1" x14ac:dyDescent="0.35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" thickBot="1" x14ac:dyDescent="0.35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x14ac:dyDescent="0.3">
      <c r="D171" s="28" t="str" cm="1">
        <f t="array" ref="D171:D173">+_xlfn.UNIQUE($D$150:$D$158)</f>
        <v>Agr</v>
      </c>
      <c r="E171" s="1">
        <f t="shared" ref="E171:M171" si="102">+E164/E$167</f>
        <v>0.30985915492957744</v>
      </c>
      <c r="F171" s="2">
        <f t="shared" si="102"/>
        <v>0.36363636363636365</v>
      </c>
      <c r="G171" s="2">
        <f t="shared" si="102"/>
        <v>0.46808510638297873</v>
      </c>
      <c r="H171" s="2">
        <f t="shared" si="102"/>
        <v>0.2073170731707317</v>
      </c>
      <c r="I171" s="2">
        <f t="shared" si="102"/>
        <v>0.4</v>
      </c>
      <c r="J171" s="2">
        <f t="shared" si="102"/>
        <v>0.30909090909090908</v>
      </c>
      <c r="K171" s="2">
        <f t="shared" si="102"/>
        <v>0.25316455696202533</v>
      </c>
      <c r="L171" s="2">
        <f t="shared" si="102"/>
        <v>0.38461538461538464</v>
      </c>
      <c r="M171" s="3">
        <f t="shared" si="102"/>
        <v>0.31666666666666665</v>
      </c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x14ac:dyDescent="0.3">
      <c r="D172" s="25" t="str">
        <v>Ind</v>
      </c>
      <c r="E172" s="5">
        <f t="shared" ref="E172:M172" si="103">+E165/E$167</f>
        <v>0.18309859154929578</v>
      </c>
      <c r="F172" s="6">
        <f t="shared" si="103"/>
        <v>0.23636363636363636</v>
      </c>
      <c r="G172" s="6">
        <f t="shared" si="103"/>
        <v>0.25531914893617019</v>
      </c>
      <c r="H172" s="6">
        <f t="shared" si="103"/>
        <v>0.23170731707317074</v>
      </c>
      <c r="I172" s="6">
        <f t="shared" si="103"/>
        <v>0.18</v>
      </c>
      <c r="J172" s="6">
        <f t="shared" si="103"/>
        <v>0.25454545454545452</v>
      </c>
      <c r="K172" s="6">
        <f t="shared" si="103"/>
        <v>0.22784810126582278</v>
      </c>
      <c r="L172" s="6">
        <f t="shared" si="103"/>
        <v>0.24615384615384617</v>
      </c>
      <c r="M172" s="7">
        <f t="shared" si="103"/>
        <v>0.26666666666666666</v>
      </c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x14ac:dyDescent="0.3">
      <c r="D173" s="25" t="str">
        <v>Serv</v>
      </c>
      <c r="E173" s="9">
        <f t="shared" ref="E173:M173" si="104">+E166/E$167</f>
        <v>0.22535211267605634</v>
      </c>
      <c r="F173" s="10">
        <f t="shared" si="104"/>
        <v>0.12727272727272726</v>
      </c>
      <c r="G173" s="10">
        <f t="shared" si="104"/>
        <v>0.1702127659574468</v>
      </c>
      <c r="H173" s="10">
        <f t="shared" si="104"/>
        <v>0.21951219512195122</v>
      </c>
      <c r="I173" s="10">
        <f t="shared" si="104"/>
        <v>0.26</v>
      </c>
      <c r="J173" s="10">
        <f t="shared" si="104"/>
        <v>0.10909090909090909</v>
      </c>
      <c r="K173" s="10">
        <f t="shared" si="104"/>
        <v>0.13924050632911392</v>
      </c>
      <c r="L173" s="10">
        <f t="shared" si="104"/>
        <v>0.15384615384615385</v>
      </c>
      <c r="M173" s="11">
        <f t="shared" si="104"/>
        <v>0.25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3"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" thickBot="1" x14ac:dyDescent="0.35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" thickBot="1" x14ac:dyDescent="0.35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2:23" x14ac:dyDescent="0.3">
      <c r="D177" s="28" t="str" cm="1">
        <f t="array" ref="D177:D179">+_xlfn.UNIQUE($D$150:$D$158)</f>
        <v>Agr</v>
      </c>
      <c r="E177" s="1">
        <f>+SUMIF($D$150:$D$158,$D177,E$150:E$158)</f>
        <v>20.887912087912085</v>
      </c>
      <c r="F177" s="2">
        <f t="shared" ref="F177:M179" si="105">+SUMIF($D$150:$D$158,$D177,F$150:F$158)</f>
        <v>18.989010989010989</v>
      </c>
      <c r="G177" s="2">
        <f t="shared" si="105"/>
        <v>20.887912087912092</v>
      </c>
      <c r="H177" s="2">
        <f t="shared" si="105"/>
        <v>16.14065934065934</v>
      </c>
      <c r="I177" s="2">
        <f t="shared" si="105"/>
        <v>18.989010989010985</v>
      </c>
      <c r="J177" s="2">
        <f t="shared" si="105"/>
        <v>16.140659340659337</v>
      </c>
      <c r="K177" s="2">
        <f t="shared" si="105"/>
        <v>18.989010989010989</v>
      </c>
      <c r="L177" s="2">
        <f t="shared" si="105"/>
        <v>23.73626373626373</v>
      </c>
      <c r="M177" s="3">
        <f t="shared" si="105"/>
        <v>18.039560439560443</v>
      </c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2:23" x14ac:dyDescent="0.3">
      <c r="D178" s="25" t="str">
        <v>Ind</v>
      </c>
      <c r="E178" s="5">
        <f t="shared" ref="E178:E179" si="106">+SUMIF($D$150:$D$158,$D178,E$150:E$158)</f>
        <v>12.999999999999996</v>
      </c>
      <c r="F178" s="6">
        <f t="shared" si="105"/>
        <v>12.999999999999996</v>
      </c>
      <c r="G178" s="6">
        <f t="shared" si="105"/>
        <v>12.000000000000002</v>
      </c>
      <c r="H178" s="6">
        <f t="shared" si="105"/>
        <v>18.999999999999996</v>
      </c>
      <c r="I178" s="6">
        <f t="shared" si="105"/>
        <v>9</v>
      </c>
      <c r="J178" s="6">
        <f t="shared" si="105"/>
        <v>13.999999999999996</v>
      </c>
      <c r="K178" s="6">
        <f t="shared" si="105"/>
        <v>18</v>
      </c>
      <c r="L178" s="6">
        <f t="shared" si="105"/>
        <v>15.999999999999996</v>
      </c>
      <c r="M178" s="7">
        <f t="shared" si="105"/>
        <v>16.000000000000007</v>
      </c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2:23" x14ac:dyDescent="0.3">
      <c r="D179" s="25" t="str">
        <v>Serv</v>
      </c>
      <c r="E179" s="9">
        <f t="shared" si="106"/>
        <v>15.999999999999998</v>
      </c>
      <c r="F179" s="10">
        <f t="shared" si="105"/>
        <v>7</v>
      </c>
      <c r="G179" s="10">
        <f t="shared" si="105"/>
        <v>8</v>
      </c>
      <c r="H179" s="10">
        <f t="shared" si="105"/>
        <v>18</v>
      </c>
      <c r="I179" s="10">
        <f t="shared" si="105"/>
        <v>12.999999999999996</v>
      </c>
      <c r="J179" s="10">
        <f t="shared" si="105"/>
        <v>5.9999999999999991</v>
      </c>
      <c r="K179" s="10">
        <f t="shared" si="105"/>
        <v>11</v>
      </c>
      <c r="L179" s="10">
        <f t="shared" si="105"/>
        <v>9.9999999999999982</v>
      </c>
      <c r="M179" s="11">
        <f t="shared" si="105"/>
        <v>15.000000000000004</v>
      </c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2:23" x14ac:dyDescent="0.3"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2:23" x14ac:dyDescent="0.3">
      <c r="E181" s="1">
        <f>+E177/E171</f>
        <v>67.410989010989013</v>
      </c>
      <c r="F181" s="2">
        <f t="shared" ref="F181:M181" si="107">+F177/F171</f>
        <v>52.219780219780219</v>
      </c>
      <c r="G181" s="2">
        <f t="shared" si="107"/>
        <v>44.624175824175829</v>
      </c>
      <c r="H181" s="2">
        <f t="shared" si="107"/>
        <v>77.854945054945063</v>
      </c>
      <c r="I181" s="2">
        <f t="shared" si="107"/>
        <v>47.47252747252746</v>
      </c>
      <c r="J181" s="2">
        <f t="shared" si="107"/>
        <v>52.219780219780205</v>
      </c>
      <c r="K181" s="2">
        <f t="shared" si="107"/>
        <v>75.006593406593396</v>
      </c>
      <c r="L181" s="2">
        <f t="shared" si="107"/>
        <v>61.714285714285694</v>
      </c>
      <c r="M181" s="3">
        <f t="shared" si="107"/>
        <v>56.967032967032978</v>
      </c>
      <c r="N181" s="19">
        <f t="shared" ref="N181:N183" si="108">+SUM(E181:M181)</f>
        <v>535.49010989010981</v>
      </c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2:23" x14ac:dyDescent="0.3">
      <c r="E182" s="5">
        <f t="shared" ref="E182:M183" si="109">+E178/E172</f>
        <v>70.999999999999972</v>
      </c>
      <c r="F182" s="6">
        <f t="shared" si="109"/>
        <v>54.999999999999986</v>
      </c>
      <c r="G182" s="6">
        <f t="shared" si="109"/>
        <v>47.000000000000007</v>
      </c>
      <c r="H182" s="6">
        <f t="shared" si="109"/>
        <v>81.999999999999986</v>
      </c>
      <c r="I182" s="6">
        <f t="shared" si="109"/>
        <v>50</v>
      </c>
      <c r="J182" s="6">
        <f t="shared" si="109"/>
        <v>54.999999999999993</v>
      </c>
      <c r="K182" s="6">
        <f t="shared" si="109"/>
        <v>79</v>
      </c>
      <c r="L182" s="6">
        <f t="shared" si="109"/>
        <v>64.999999999999986</v>
      </c>
      <c r="M182" s="7">
        <f t="shared" si="109"/>
        <v>60.000000000000028</v>
      </c>
      <c r="N182" s="19">
        <f t="shared" si="108"/>
        <v>564</v>
      </c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2:23" x14ac:dyDescent="0.3">
      <c r="E183" s="73">
        <f t="shared" si="109"/>
        <v>70.999999999999986</v>
      </c>
      <c r="F183" s="74">
        <f t="shared" si="109"/>
        <v>55.000000000000007</v>
      </c>
      <c r="G183" s="74">
        <f t="shared" si="109"/>
        <v>47</v>
      </c>
      <c r="H183" s="74">
        <f t="shared" si="109"/>
        <v>82</v>
      </c>
      <c r="I183" s="74">
        <f t="shared" si="109"/>
        <v>49.999999999999986</v>
      </c>
      <c r="J183" s="74">
        <f t="shared" si="109"/>
        <v>54.999999999999993</v>
      </c>
      <c r="K183" s="74">
        <f t="shared" si="109"/>
        <v>79</v>
      </c>
      <c r="L183" s="74">
        <f t="shared" si="109"/>
        <v>64.999999999999986</v>
      </c>
      <c r="M183" s="75">
        <f t="shared" si="109"/>
        <v>60.000000000000014</v>
      </c>
      <c r="N183" s="19">
        <f t="shared" si="108"/>
        <v>564</v>
      </c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2:23" x14ac:dyDescent="0.3">
      <c r="D184" s="25" t="s">
        <v>47</v>
      </c>
      <c r="E184" s="13">
        <f>+MIN(E181:E183)</f>
        <v>67.410989010989013</v>
      </c>
      <c r="F184" s="14">
        <f t="shared" ref="F184:M184" si="110">+MIN(F181:F183)</f>
        <v>52.219780219780219</v>
      </c>
      <c r="G184" s="14">
        <f t="shared" si="110"/>
        <v>44.624175824175829</v>
      </c>
      <c r="H184" s="14">
        <f t="shared" si="110"/>
        <v>77.854945054945063</v>
      </c>
      <c r="I184" s="14">
        <f t="shared" si="110"/>
        <v>47.47252747252746</v>
      </c>
      <c r="J184" s="14">
        <f t="shared" si="110"/>
        <v>52.219780219780205</v>
      </c>
      <c r="K184" s="14">
        <f t="shared" si="110"/>
        <v>75.006593406593396</v>
      </c>
      <c r="L184" s="14">
        <f t="shared" si="110"/>
        <v>61.714285714285694</v>
      </c>
      <c r="M184" s="15">
        <f t="shared" si="110"/>
        <v>56.967032967032978</v>
      </c>
      <c r="N184" s="19">
        <f>+SUM(E184:M184)</f>
        <v>535.49010989010981</v>
      </c>
    </row>
    <row r="185" spans="2:23" x14ac:dyDescent="0.3">
      <c r="E185" s="18">
        <f>+E184-E88</f>
        <v>-3.5890109890109869</v>
      </c>
      <c r="F185" s="18">
        <f t="shared" ref="F185:M185" si="111">+F184-F88</f>
        <v>-2.7802197802197881</v>
      </c>
      <c r="G185" s="18">
        <f t="shared" si="111"/>
        <v>-2.3758241758241851</v>
      </c>
      <c r="H185" s="18">
        <f t="shared" si="111"/>
        <v>-4.1450549450549374</v>
      </c>
      <c r="I185" s="18">
        <f t="shared" si="111"/>
        <v>-2.5274725274725398</v>
      </c>
      <c r="J185" s="18">
        <f t="shared" si="111"/>
        <v>-2.7802197802197952</v>
      </c>
      <c r="K185" s="18">
        <f t="shared" si="111"/>
        <v>-3.9934065934066183</v>
      </c>
      <c r="L185" s="18">
        <f t="shared" si="111"/>
        <v>-3.285714285714306</v>
      </c>
      <c r="M185" s="18">
        <f t="shared" si="111"/>
        <v>-3.0329670329670435</v>
      </c>
      <c r="N185" s="18">
        <f>+N184-O14</f>
        <v>-28.509890109890193</v>
      </c>
      <c r="O185" s="18" t="s">
        <v>64</v>
      </c>
      <c r="P185" s="18"/>
      <c r="Q185" s="18"/>
      <c r="R185" s="18"/>
      <c r="S185" s="18"/>
      <c r="T185" s="18"/>
      <c r="U185" s="18"/>
      <c r="V185" s="18"/>
      <c r="W185" s="18"/>
    </row>
    <row r="186" spans="2:23" x14ac:dyDescent="0.3">
      <c r="E186" s="18"/>
      <c r="F186" s="18"/>
      <c r="G186" s="18"/>
      <c r="H186" s="18"/>
      <c r="I186" s="18"/>
      <c r="J186" s="18"/>
      <c r="K186" s="18"/>
      <c r="L186" s="18"/>
      <c r="M186" s="18"/>
      <c r="N186" s="18">
        <f>+N185/O57</f>
        <v>2.0077387401331057</v>
      </c>
      <c r="O186" s="18" t="s">
        <v>65</v>
      </c>
      <c r="P186" s="18"/>
      <c r="Q186" s="18"/>
      <c r="R186" s="18"/>
      <c r="S186" s="18"/>
      <c r="T186" s="18"/>
      <c r="U186" s="18"/>
      <c r="V186" s="18"/>
      <c r="W186" s="18"/>
    </row>
    <row r="187" spans="2:23" x14ac:dyDescent="0.3">
      <c r="B187" s="16"/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  <c r="J187" s="114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2:23" x14ac:dyDescent="0.3">
      <c r="B188" s="99">
        <f>+MAX(E188/C188,0)</f>
        <v>0</v>
      </c>
      <c r="C188" s="5" cm="1">
        <f t="array" ref="C188:C196">+H47:H55</f>
        <v>25</v>
      </c>
      <c r="D188" s="136">
        <f>+MAX(G188-SUM(E150:M150),0)</f>
        <v>30.610989010989009</v>
      </c>
      <c r="E188" s="117">
        <f>+C188-D188</f>
        <v>-5.6109890109890088</v>
      </c>
      <c r="F188" s="78">
        <f>+SUM(E150:M150)+C188</f>
        <v>61.800000000000004</v>
      </c>
      <c r="G188" s="79" cm="1">
        <f t="array" ref="G188:G196">+TRANSPOSE(E184:M184)</f>
        <v>67.410989010989013</v>
      </c>
      <c r="H188" s="117">
        <f>+F188-G188</f>
        <v>-5.6109890109890088</v>
      </c>
      <c r="I188" s="120" t="b">
        <f>+H188&lt;0.01</f>
        <v>1</v>
      </c>
      <c r="J188" s="16">
        <f>+MIN(C188:D188)</f>
        <v>25</v>
      </c>
      <c r="K188" s="18">
        <f>+J188-C188</f>
        <v>0</v>
      </c>
      <c r="L188" s="99">
        <f>+K188/C188</f>
        <v>0</v>
      </c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2:23" x14ac:dyDescent="0.3">
      <c r="B189" s="99">
        <f t="shared" ref="B189:B196" si="112">+MAX(E189/C189,0)</f>
        <v>0.39717425431711156</v>
      </c>
      <c r="C189" s="5">
        <v>7</v>
      </c>
      <c r="D189" s="79">
        <f t="shared" ref="D189:D196" si="113">+MAX(G189-SUM(E151:M151),0)</f>
        <v>4.219780219780219</v>
      </c>
      <c r="E189" s="117">
        <f t="shared" ref="E189:E196" si="114">+C189-D189</f>
        <v>2.780219780219781</v>
      </c>
      <c r="F189" s="78">
        <f>+SUM(E151:M151)+C189</f>
        <v>55</v>
      </c>
      <c r="G189" s="79">
        <v>52.219780219780219</v>
      </c>
      <c r="H189" s="117">
        <f t="shared" ref="H189:H196" si="115">+F189-G189</f>
        <v>2.780219780219781</v>
      </c>
      <c r="I189" s="120" t="b">
        <f t="shared" ref="I189:I196" si="116">+H189&lt;0.01</f>
        <v>0</v>
      </c>
      <c r="J189" s="16">
        <f t="shared" ref="J189:J196" si="117">+MIN(C189:D189)</f>
        <v>4.219780219780219</v>
      </c>
      <c r="K189" s="18">
        <f t="shared" ref="K189:K196" si="118">+J189-C189</f>
        <v>-2.780219780219781</v>
      </c>
      <c r="L189" s="99">
        <f t="shared" ref="L189:L196" si="119">+K189/C189</f>
        <v>-0.39717425431711156</v>
      </c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2:23" x14ac:dyDescent="0.3">
      <c r="B190" s="99">
        <f t="shared" si="112"/>
        <v>0.16970172684458365</v>
      </c>
      <c r="C190" s="5">
        <v>14</v>
      </c>
      <c r="D190" s="79">
        <f t="shared" si="113"/>
        <v>11.624175824175829</v>
      </c>
      <c r="E190" s="117">
        <f t="shared" si="114"/>
        <v>2.3758241758241709</v>
      </c>
      <c r="F190" s="78">
        <f t="shared" ref="F190:F196" si="120">+SUM(E152:M152)+C190</f>
        <v>47</v>
      </c>
      <c r="G190" s="79">
        <v>44.624175824175829</v>
      </c>
      <c r="H190" s="117">
        <f t="shared" si="115"/>
        <v>2.3758241758241709</v>
      </c>
      <c r="I190" s="120" t="b">
        <f t="shared" si="116"/>
        <v>0</v>
      </c>
      <c r="J190" s="16">
        <f t="shared" si="117"/>
        <v>11.624175824175829</v>
      </c>
      <c r="K190" s="18">
        <f t="shared" si="118"/>
        <v>-2.3758241758241709</v>
      </c>
      <c r="L190" s="99">
        <f t="shared" si="119"/>
        <v>-0.16970172684458365</v>
      </c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2:23" x14ac:dyDescent="0.3">
      <c r="B191" s="99">
        <f t="shared" si="112"/>
        <v>0.41450549450549373</v>
      </c>
      <c r="C191" s="5">
        <v>10</v>
      </c>
      <c r="D191" s="79">
        <f t="shared" si="113"/>
        <v>5.8549450549450626</v>
      </c>
      <c r="E191" s="117">
        <f t="shared" si="114"/>
        <v>4.1450549450549374</v>
      </c>
      <c r="F191" s="78">
        <f t="shared" si="120"/>
        <v>82</v>
      </c>
      <c r="G191" s="79">
        <v>77.854945054945063</v>
      </c>
      <c r="H191" s="117">
        <f t="shared" si="115"/>
        <v>4.1450549450549374</v>
      </c>
      <c r="I191" s="120" t="b">
        <f t="shared" si="116"/>
        <v>0</v>
      </c>
      <c r="J191" s="16">
        <f t="shared" si="117"/>
        <v>5.8549450549450626</v>
      </c>
      <c r="K191" s="18">
        <f t="shared" si="118"/>
        <v>-4.1450549450549374</v>
      </c>
      <c r="L191" s="99">
        <f t="shared" si="119"/>
        <v>-0.41450549450549373</v>
      </c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2:23" x14ac:dyDescent="0.3">
      <c r="B192" s="99">
        <f t="shared" si="112"/>
        <v>0.50549450549450792</v>
      </c>
      <c r="C192" s="5">
        <v>5</v>
      </c>
      <c r="D192" s="79">
        <f t="shared" si="113"/>
        <v>2.4725274725274602</v>
      </c>
      <c r="E192" s="117">
        <f t="shared" si="114"/>
        <v>2.5274725274725398</v>
      </c>
      <c r="F192" s="78">
        <f t="shared" si="120"/>
        <v>50</v>
      </c>
      <c r="G192" s="79">
        <v>47.47252747252746</v>
      </c>
      <c r="H192" s="117">
        <f t="shared" si="115"/>
        <v>2.5274725274725398</v>
      </c>
      <c r="I192" s="120" t="b">
        <f t="shared" si="116"/>
        <v>0</v>
      </c>
      <c r="J192" s="16">
        <f t="shared" si="117"/>
        <v>2.4725274725274602</v>
      </c>
      <c r="K192" s="18">
        <f t="shared" si="118"/>
        <v>-2.5274725274725398</v>
      </c>
      <c r="L192" s="99">
        <f t="shared" si="119"/>
        <v>-0.50549450549450792</v>
      </c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2:23" x14ac:dyDescent="0.3">
      <c r="B193" s="99">
        <f t="shared" si="112"/>
        <v>0.13901098901098941</v>
      </c>
      <c r="C193" s="5">
        <v>20</v>
      </c>
      <c r="D193" s="79">
        <f t="shared" si="113"/>
        <v>17.219780219780212</v>
      </c>
      <c r="E193" s="117">
        <f t="shared" si="114"/>
        <v>2.7802197802197881</v>
      </c>
      <c r="F193" s="78">
        <f t="shared" si="120"/>
        <v>54.999999999999993</v>
      </c>
      <c r="G193" s="79">
        <v>52.219780219780205</v>
      </c>
      <c r="H193" s="117">
        <f t="shared" si="115"/>
        <v>2.7802197802197881</v>
      </c>
      <c r="I193" s="120" t="b">
        <f t="shared" si="116"/>
        <v>0</v>
      </c>
      <c r="J193" s="16">
        <f t="shared" si="117"/>
        <v>17.219780219780212</v>
      </c>
      <c r="K193" s="18">
        <f t="shared" si="118"/>
        <v>-2.7802197802197881</v>
      </c>
      <c r="L193" s="99">
        <f t="shared" si="119"/>
        <v>-0.13901098901098941</v>
      </c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2:23" x14ac:dyDescent="0.3">
      <c r="B194" s="99">
        <f t="shared" si="112"/>
        <v>0.26622710622710694</v>
      </c>
      <c r="C194" s="5">
        <v>15</v>
      </c>
      <c r="D194" s="79">
        <f t="shared" si="113"/>
        <v>11.006593406593396</v>
      </c>
      <c r="E194" s="117">
        <f t="shared" si="114"/>
        <v>3.9934065934066041</v>
      </c>
      <c r="F194" s="78">
        <f t="shared" si="120"/>
        <v>79</v>
      </c>
      <c r="G194" s="79">
        <v>75.006593406593396</v>
      </c>
      <c r="H194" s="117">
        <f t="shared" si="115"/>
        <v>3.9934065934066041</v>
      </c>
      <c r="I194" s="120" t="b">
        <f t="shared" si="116"/>
        <v>0</v>
      </c>
      <c r="J194" s="16">
        <f t="shared" si="117"/>
        <v>11.006593406593396</v>
      </c>
      <c r="K194" s="18">
        <f t="shared" si="118"/>
        <v>-3.9934065934066041</v>
      </c>
      <c r="L194" s="99">
        <f t="shared" si="119"/>
        <v>-0.26622710622710694</v>
      </c>
    </row>
    <row r="195" spans="2:23" x14ac:dyDescent="0.3">
      <c r="B195" s="99">
        <f t="shared" si="112"/>
        <v>0.11734693877551118</v>
      </c>
      <c r="C195" s="5">
        <v>28</v>
      </c>
      <c r="D195" s="79">
        <f t="shared" si="113"/>
        <v>24.714285714285687</v>
      </c>
      <c r="E195" s="117">
        <f t="shared" si="114"/>
        <v>3.2857142857143131</v>
      </c>
      <c r="F195" s="78">
        <f t="shared" si="120"/>
        <v>65</v>
      </c>
      <c r="G195" s="79">
        <v>61.714285714285694</v>
      </c>
      <c r="H195" s="117">
        <f t="shared" si="115"/>
        <v>3.285714285714306</v>
      </c>
      <c r="I195" s="120" t="b">
        <f t="shared" si="116"/>
        <v>0</v>
      </c>
      <c r="J195" s="16">
        <f t="shared" si="117"/>
        <v>24.714285714285687</v>
      </c>
      <c r="K195" s="18">
        <f t="shared" si="118"/>
        <v>-3.2857142857143131</v>
      </c>
      <c r="L195" s="99">
        <f t="shared" si="119"/>
        <v>-0.11734693877551118</v>
      </c>
    </row>
    <row r="196" spans="2:23" x14ac:dyDescent="0.3">
      <c r="B196" s="99">
        <f t="shared" si="112"/>
        <v>0.12637362637362562</v>
      </c>
      <c r="C196" s="9">
        <v>24</v>
      </c>
      <c r="D196" s="79">
        <f t="shared" si="113"/>
        <v>20.967032967032985</v>
      </c>
      <c r="E196" s="118">
        <f t="shared" si="114"/>
        <v>3.0329670329670151</v>
      </c>
      <c r="F196" s="80">
        <f t="shared" si="120"/>
        <v>59.999999999999993</v>
      </c>
      <c r="G196" s="81">
        <v>56.967032967032978</v>
      </c>
      <c r="H196" s="118">
        <f t="shared" si="115"/>
        <v>3.0329670329670151</v>
      </c>
      <c r="I196" s="120" t="b">
        <f t="shared" si="116"/>
        <v>0</v>
      </c>
      <c r="J196" s="16">
        <f t="shared" si="117"/>
        <v>20.967032967032985</v>
      </c>
      <c r="K196" s="18">
        <f t="shared" si="118"/>
        <v>-3.0329670329670151</v>
      </c>
      <c r="L196" s="99">
        <f t="shared" si="119"/>
        <v>-0.12637362637362562</v>
      </c>
    </row>
    <row r="198" spans="2:23" ht="15" thickBot="1" x14ac:dyDescent="0.35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23" ht="15" thickBot="1" x14ac:dyDescent="0.35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23" x14ac:dyDescent="0.3">
      <c r="C200" s="20" t="s">
        <v>1</v>
      </c>
      <c r="D200" s="28" t="s">
        <v>51</v>
      </c>
      <c r="E200" s="1">
        <f>+E150/E$184</f>
        <v>0.11867501304121023</v>
      </c>
      <c r="F200" s="2">
        <f t="shared" ref="F200:M200" si="121">+F150/F$184</f>
        <v>7.6599326599326598E-2</v>
      </c>
      <c r="G200" s="2">
        <f t="shared" si="121"/>
        <v>0.1792750197005516</v>
      </c>
      <c r="H200" s="2">
        <f t="shared" si="121"/>
        <v>1.0275519421860885E-2</v>
      </c>
      <c r="I200" s="2">
        <f t="shared" si="121"/>
        <v>0</v>
      </c>
      <c r="J200" s="2">
        <f t="shared" si="121"/>
        <v>0.1225589225589226</v>
      </c>
      <c r="K200" s="2">
        <f t="shared" si="121"/>
        <v>3.1997187060478209E-2</v>
      </c>
      <c r="L200" s="2">
        <f t="shared" si="121"/>
        <v>9.0740740740740775E-2</v>
      </c>
      <c r="M200" s="3">
        <f t="shared" si="121"/>
        <v>2.8086419753086418E-2</v>
      </c>
    </row>
    <row r="201" spans="2:23" x14ac:dyDescent="0.3">
      <c r="C201" s="20" t="s">
        <v>1</v>
      </c>
      <c r="D201" s="25" t="s">
        <v>52</v>
      </c>
      <c r="E201" s="5">
        <f t="shared" ref="E201:M201" si="122">+E151/E$184</f>
        <v>0.11001871797232193</v>
      </c>
      <c r="F201" s="6">
        <f t="shared" si="122"/>
        <v>6.975044563279853E-2</v>
      </c>
      <c r="G201" s="6">
        <f t="shared" si="122"/>
        <v>0.18412599082186065</v>
      </c>
      <c r="H201" s="6">
        <f t="shared" si="122"/>
        <v>5.9960678038152901E-2</v>
      </c>
      <c r="I201" s="6">
        <f t="shared" si="122"/>
        <v>3.8461873638344267E-2</v>
      </c>
      <c r="J201" s="6">
        <f t="shared" si="122"/>
        <v>0.17482669835611012</v>
      </c>
      <c r="K201" s="6">
        <f t="shared" si="122"/>
        <v>2.4217478834009015E-2</v>
      </c>
      <c r="L201" s="6">
        <f t="shared" si="122"/>
        <v>7.7472766884531571E-2</v>
      </c>
      <c r="M201" s="7">
        <f t="shared" si="122"/>
        <v>0.11416303558460426</v>
      </c>
    </row>
    <row r="202" spans="2:23" x14ac:dyDescent="0.3">
      <c r="C202" s="20" t="s">
        <v>1</v>
      </c>
      <c r="D202" s="25" t="s">
        <v>53</v>
      </c>
      <c r="E202" s="5">
        <f t="shared" ref="E202:M202" si="123">+E152/E$184</f>
        <v>1.5062597809076671E-2</v>
      </c>
      <c r="F202" s="6">
        <f t="shared" si="123"/>
        <v>8.5069444444444437E-3</v>
      </c>
      <c r="G202" s="6">
        <f t="shared" si="123"/>
        <v>1.1377068557919624E-2</v>
      </c>
      <c r="H202" s="6">
        <f t="shared" si="123"/>
        <v>8.6600892050587158E-2</v>
      </c>
      <c r="I202" s="6">
        <f t="shared" si="123"/>
        <v>8.4785879629629635E-2</v>
      </c>
      <c r="J202" s="6">
        <f t="shared" si="123"/>
        <v>6.8571127946127963E-2</v>
      </c>
      <c r="K202" s="6">
        <f t="shared" si="123"/>
        <v>8.3966977262072209E-2</v>
      </c>
      <c r="L202" s="6">
        <f t="shared" si="123"/>
        <v>6.2134971509971527E-2</v>
      </c>
      <c r="M202" s="7">
        <f t="shared" si="123"/>
        <v>0.11501253858024692</v>
      </c>
    </row>
    <row r="203" spans="2:23" x14ac:dyDescent="0.3">
      <c r="C203" s="20" t="s">
        <v>10</v>
      </c>
      <c r="D203" s="25" t="str">
        <f>+D200</f>
        <v>Agr</v>
      </c>
      <c r="E203" s="5">
        <f t="shared" ref="E203:M203" si="124">+E153/E$184</f>
        <v>0.13262910798122063</v>
      </c>
      <c r="F203" s="6">
        <f t="shared" si="124"/>
        <v>0.1069023569023569</v>
      </c>
      <c r="G203" s="6">
        <f t="shared" si="124"/>
        <v>0.11071710007880221</v>
      </c>
      <c r="H203" s="6">
        <f t="shared" si="124"/>
        <v>8.9205058717253816E-2</v>
      </c>
      <c r="I203" s="6">
        <f t="shared" si="124"/>
        <v>0.20185185185185187</v>
      </c>
      <c r="J203" s="6">
        <f t="shared" si="124"/>
        <v>0.16363636363636364</v>
      </c>
      <c r="K203" s="6">
        <f t="shared" si="124"/>
        <v>0.12775433661509614</v>
      </c>
      <c r="L203" s="6">
        <f t="shared" si="124"/>
        <v>0.14871794871794872</v>
      </c>
      <c r="M203" s="7">
        <f t="shared" si="124"/>
        <v>0.15277777777777776</v>
      </c>
    </row>
    <row r="204" spans="2:23" x14ac:dyDescent="0.3">
      <c r="C204" s="20" t="s">
        <v>10</v>
      </c>
      <c r="D204" s="25" t="str">
        <f t="shared" ref="D204:D208" si="125">+D201</f>
        <v>Ind</v>
      </c>
      <c r="E204" s="5">
        <f t="shared" ref="E204:M204" si="126">+E154/E$184</f>
        <v>5.9337506520605113E-2</v>
      </c>
      <c r="F204" s="6">
        <f t="shared" si="126"/>
        <v>3.8299663299663327E-2</v>
      </c>
      <c r="G204" s="6">
        <f t="shared" si="126"/>
        <v>6.7228132387706863E-2</v>
      </c>
      <c r="H204" s="6">
        <f t="shared" si="126"/>
        <v>7.7066395663956636E-2</v>
      </c>
      <c r="I204" s="6">
        <f t="shared" si="126"/>
        <v>0.1474537037037037</v>
      </c>
      <c r="J204" s="6">
        <f t="shared" si="126"/>
        <v>7.6599326599326625E-2</v>
      </c>
      <c r="K204" s="6">
        <f t="shared" si="126"/>
        <v>0.11998945147679324</v>
      </c>
      <c r="L204" s="6">
        <f t="shared" si="126"/>
        <v>3.2407407407407447E-2</v>
      </c>
      <c r="M204" s="7">
        <f t="shared" si="126"/>
        <v>0.14043209876543206</v>
      </c>
    </row>
    <row r="205" spans="2:23" x14ac:dyDescent="0.3">
      <c r="C205" s="20" t="s">
        <v>10</v>
      </c>
      <c r="D205" s="25" t="str">
        <f t="shared" si="125"/>
        <v>Serv</v>
      </c>
      <c r="E205" s="5">
        <f t="shared" ref="E205:M205" si="127">+E155/E$184</f>
        <v>8.7180490349504425E-2</v>
      </c>
      <c r="F205" s="6">
        <f t="shared" si="127"/>
        <v>8.5621843434343425E-2</v>
      </c>
      <c r="G205" s="6">
        <f t="shared" si="127"/>
        <v>8.377659574468084E-2</v>
      </c>
      <c r="H205" s="6">
        <f t="shared" si="127"/>
        <v>2.583700316169827E-2</v>
      </c>
      <c r="I205" s="6">
        <f t="shared" si="127"/>
        <v>0.17009837962962965</v>
      </c>
      <c r="J205" s="6">
        <f t="shared" si="127"/>
        <v>3.8373316498316504E-2</v>
      </c>
      <c r="K205" s="6">
        <f t="shared" si="127"/>
        <v>2.0536656118143461E-2</v>
      </c>
      <c r="L205" s="6">
        <f t="shared" si="127"/>
        <v>8.8684116809116836E-2</v>
      </c>
      <c r="M205" s="7">
        <f t="shared" si="127"/>
        <v>3.1766010802469144E-2</v>
      </c>
    </row>
    <row r="206" spans="2:23" x14ac:dyDescent="0.3">
      <c r="C206" s="20" t="s">
        <v>11</v>
      </c>
      <c r="D206" s="25" t="str">
        <f t="shared" si="125"/>
        <v>Agr</v>
      </c>
      <c r="E206" s="5">
        <f t="shared" ref="E206:M206" si="128">+E156/E$184</f>
        <v>5.8555033907146573E-2</v>
      </c>
      <c r="F206" s="6">
        <f t="shared" si="128"/>
        <v>0.18013468013468015</v>
      </c>
      <c r="G206" s="6">
        <f t="shared" si="128"/>
        <v>0.17809298660362494</v>
      </c>
      <c r="H206" s="6">
        <f t="shared" si="128"/>
        <v>0.10783649503161698</v>
      </c>
      <c r="I206" s="6">
        <f t="shared" si="128"/>
        <v>0.19814814814814816</v>
      </c>
      <c r="J206" s="6">
        <f t="shared" si="128"/>
        <v>2.2895622895622886E-2</v>
      </c>
      <c r="K206" s="6">
        <f t="shared" si="128"/>
        <v>9.3413033286451022E-2</v>
      </c>
      <c r="L206" s="6">
        <f t="shared" si="128"/>
        <v>0.14515669515669519</v>
      </c>
      <c r="M206" s="7">
        <f t="shared" si="128"/>
        <v>0.13580246913580249</v>
      </c>
    </row>
    <row r="207" spans="2:23" x14ac:dyDescent="0.3">
      <c r="C207" s="20" t="s">
        <v>11</v>
      </c>
      <c r="D207" s="25" t="str">
        <f t="shared" si="125"/>
        <v>Ind</v>
      </c>
      <c r="E207" s="5">
        <f t="shared" ref="E207:M207" si="129">+E157/E$184</f>
        <v>2.3490671699039539E-2</v>
      </c>
      <c r="F207" s="6">
        <f t="shared" si="129"/>
        <v>0.14089770251534955</v>
      </c>
      <c r="G207" s="6">
        <f t="shared" si="129"/>
        <v>1.7558406341259922E-2</v>
      </c>
      <c r="H207" s="6">
        <f t="shared" si="129"/>
        <v>0.10701651256708643</v>
      </c>
      <c r="I207" s="6">
        <f t="shared" si="129"/>
        <v>3.6677559912854287E-3</v>
      </c>
      <c r="J207" s="6">
        <f t="shared" si="129"/>
        <v>1.667161814220636E-2</v>
      </c>
      <c r="K207" s="6">
        <f t="shared" si="129"/>
        <v>9.5771972642784295E-2</v>
      </c>
      <c r="L207" s="6">
        <f t="shared" si="129"/>
        <v>0.14937908496732027</v>
      </c>
      <c r="M207" s="7">
        <f t="shared" si="129"/>
        <v>2.6269063180827928E-2</v>
      </c>
    </row>
    <row r="208" spans="2:23" x14ac:dyDescent="0.3">
      <c r="C208" s="20" t="s">
        <v>11</v>
      </c>
      <c r="D208" s="25" t="str">
        <f t="shared" si="125"/>
        <v>Serv</v>
      </c>
      <c r="E208" s="9">
        <f t="shared" ref="E208:M208" si="130">+E158/E$184</f>
        <v>0.13510693792383932</v>
      </c>
      <c r="F208" s="10">
        <f t="shared" si="130"/>
        <v>3.9920033670033675E-2</v>
      </c>
      <c r="G208" s="10">
        <f t="shared" si="130"/>
        <v>8.4121355397951139E-2</v>
      </c>
      <c r="H208" s="10">
        <f t="shared" si="130"/>
        <v>0.11876129177958444</v>
      </c>
      <c r="I208" s="10">
        <f t="shared" si="130"/>
        <v>1.895833333333332E-2</v>
      </c>
      <c r="J208" s="10">
        <f t="shared" si="130"/>
        <v>7.9545454545454485E-3</v>
      </c>
      <c r="K208" s="10">
        <f t="shared" si="130"/>
        <v>4.2150140646976093E-2</v>
      </c>
      <c r="L208" s="10">
        <f t="shared" si="130"/>
        <v>1.1217948717948708E-2</v>
      </c>
      <c r="M208" s="11">
        <f t="shared" si="130"/>
        <v>0.11653163580246914</v>
      </c>
    </row>
    <row r="211" spans="3:13" ht="15" thickBot="1" x14ac:dyDescent="0.35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" thickBot="1" x14ac:dyDescent="0.35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3">
      <c r="C213" s="20" t="s">
        <v>1</v>
      </c>
      <c r="D213" s="28" t="s">
        <v>51</v>
      </c>
      <c r="E213" s="1" cm="1">
        <f t="array" ref="E213:M221">+MINVERSE(_xlfn.MUNIT(COUNTA($D$213:$D$221))-E200:M208)</f>
        <v>1.3054594043393777</v>
      </c>
      <c r="F213" s="2">
        <v>0.26348040523653982</v>
      </c>
      <c r="G213" s="2">
        <v>0.40818898954806526</v>
      </c>
      <c r="H213" s="2">
        <v>0.187744682511089</v>
      </c>
      <c r="I213" s="2">
        <v>0.2097015211627474</v>
      </c>
      <c r="J213" s="2">
        <v>0.30395017603799007</v>
      </c>
      <c r="K213" s="2">
        <v>0.19529658202551634</v>
      </c>
      <c r="L213" s="2">
        <v>0.3021283172166685</v>
      </c>
      <c r="M213" s="3">
        <v>0.24442071152272193</v>
      </c>
    </row>
    <row r="214" spans="3:13" x14ac:dyDescent="0.3">
      <c r="C214" s="20" t="s">
        <v>1</v>
      </c>
      <c r="D214" s="25" t="s">
        <v>52</v>
      </c>
      <c r="E214" s="5">
        <v>0.3694966881991173</v>
      </c>
      <c r="F214" s="6">
        <v>1.3141596899522821</v>
      </c>
      <c r="G214" s="6">
        <v>0.48824442963605275</v>
      </c>
      <c r="H214" s="6">
        <v>0.3005782616083576</v>
      </c>
      <c r="I214" s="6">
        <v>0.32908342393521317</v>
      </c>
      <c r="J214" s="6">
        <v>0.41349826770333792</v>
      </c>
      <c r="K214" s="6">
        <v>0.24480937612367404</v>
      </c>
      <c r="L214" s="6">
        <v>0.35018543593099194</v>
      </c>
      <c r="M214" s="7">
        <v>0.41232493529669106</v>
      </c>
    </row>
    <row r="215" spans="3:13" x14ac:dyDescent="0.3">
      <c r="C215" s="20" t="s">
        <v>1</v>
      </c>
      <c r="D215" s="25" t="s">
        <v>53</v>
      </c>
      <c r="E215" s="5">
        <v>0.20843503312649037</v>
      </c>
      <c r="F215" s="6">
        <v>0.19873270024282719</v>
      </c>
      <c r="G215" s="6">
        <v>1.2383542602085484</v>
      </c>
      <c r="H215" s="6">
        <v>0.27267592468564772</v>
      </c>
      <c r="I215" s="6">
        <v>0.31212778312458855</v>
      </c>
      <c r="J215" s="6">
        <v>0.23579115353528282</v>
      </c>
      <c r="K215" s="6">
        <v>0.25633317733578126</v>
      </c>
      <c r="L215" s="6">
        <v>0.26324634960322157</v>
      </c>
      <c r="M215" s="7">
        <v>0.34599544352122769</v>
      </c>
    </row>
    <row r="216" spans="3:13" x14ac:dyDescent="0.3">
      <c r="C216" s="20" t="s">
        <v>10</v>
      </c>
      <c r="D216" s="25" t="str">
        <f>+D213</f>
        <v>Agr</v>
      </c>
      <c r="E216" s="5">
        <v>0.53718634199809034</v>
      </c>
      <c r="F216" s="6">
        <v>0.50426202873045523</v>
      </c>
      <c r="G216" s="6">
        <v>0.59853673090179271</v>
      </c>
      <c r="H216" s="6">
        <v>1.4734649379110709</v>
      </c>
      <c r="I216" s="6">
        <v>0.66712378468672917</v>
      </c>
      <c r="J216" s="6">
        <v>0.53350191440655126</v>
      </c>
      <c r="K216" s="6">
        <v>0.48621674473859527</v>
      </c>
      <c r="L216" s="6">
        <v>0.57691173691755904</v>
      </c>
      <c r="M216" s="7">
        <v>0.63208243948812559</v>
      </c>
    </row>
    <row r="217" spans="3:13" x14ac:dyDescent="0.3">
      <c r="C217" s="20" t="s">
        <v>10</v>
      </c>
      <c r="D217" s="25" t="str">
        <f t="shared" ref="D217:D221" si="131">+D214</f>
        <v>Ind</v>
      </c>
      <c r="E217" s="5">
        <v>0.32345808496720507</v>
      </c>
      <c r="F217" s="6">
        <v>0.29054864525465185</v>
      </c>
      <c r="G217" s="6">
        <v>0.38347990332731507</v>
      </c>
      <c r="H217" s="6">
        <v>0.32884203820484526</v>
      </c>
      <c r="I217" s="6">
        <v>1.4579857656059145</v>
      </c>
      <c r="J217" s="6">
        <v>0.31095330475698446</v>
      </c>
      <c r="K217" s="6">
        <v>0.35427378512470303</v>
      </c>
      <c r="L217" s="6">
        <v>0.30097431234265409</v>
      </c>
      <c r="M217" s="7">
        <v>0.46095907840007078</v>
      </c>
    </row>
    <row r="218" spans="3:13" x14ac:dyDescent="0.3">
      <c r="C218" s="20" t="s">
        <v>10</v>
      </c>
      <c r="D218" s="25" t="str">
        <f t="shared" si="131"/>
        <v>Serv</v>
      </c>
      <c r="E218" s="5">
        <v>0.28316783986434535</v>
      </c>
      <c r="F218" s="6">
        <v>0.27598053614490964</v>
      </c>
      <c r="G218" s="6">
        <v>0.32235897340212527</v>
      </c>
      <c r="H218" s="6">
        <v>0.21436035106254905</v>
      </c>
      <c r="I218" s="6">
        <v>0.39465154869632441</v>
      </c>
      <c r="J218" s="6">
        <v>1.2292612780176282</v>
      </c>
      <c r="K218" s="6">
        <v>0.20151360136224952</v>
      </c>
      <c r="L218" s="6">
        <v>0.29751842515604249</v>
      </c>
      <c r="M218" s="7">
        <v>0.27045316555171683</v>
      </c>
    </row>
    <row r="219" spans="3:13" x14ac:dyDescent="0.3">
      <c r="C219" s="20" t="s">
        <v>11</v>
      </c>
      <c r="D219" s="25" t="str">
        <f t="shared" si="131"/>
        <v>Agr</v>
      </c>
      <c r="E219" s="5">
        <v>0.4291759343014166</v>
      </c>
      <c r="F219" s="6">
        <v>0.54016575988858029</v>
      </c>
      <c r="G219" s="6">
        <v>0.62387039917518894</v>
      </c>
      <c r="H219" s="6">
        <v>0.47350280341638112</v>
      </c>
      <c r="I219" s="6">
        <v>0.62201239802777064</v>
      </c>
      <c r="J219" s="6">
        <v>0.37587659831850906</v>
      </c>
      <c r="K219" s="6">
        <v>1.4325221566471611</v>
      </c>
      <c r="L219" s="6">
        <v>0.5385277834748845</v>
      </c>
      <c r="M219" s="7">
        <v>0.59514510872685145</v>
      </c>
    </row>
    <row r="220" spans="3:13" x14ac:dyDescent="0.3">
      <c r="C220" s="20" t="s">
        <v>11</v>
      </c>
      <c r="D220" s="25" t="str">
        <f t="shared" si="131"/>
        <v>Ind</v>
      </c>
      <c r="E220" s="5">
        <v>0.2349484088859046</v>
      </c>
      <c r="F220" s="6">
        <v>0.36694278467934122</v>
      </c>
      <c r="G220" s="6">
        <v>0.2813316376581268</v>
      </c>
      <c r="H220" s="6">
        <v>0.31423227647647956</v>
      </c>
      <c r="I220" s="6">
        <v>0.24195296741902336</v>
      </c>
      <c r="J220" s="6">
        <v>0.22273644808716211</v>
      </c>
      <c r="K220" s="6">
        <v>0.28572124440492241</v>
      </c>
      <c r="L220" s="6">
        <v>1.3944446956195773</v>
      </c>
      <c r="M220" s="7">
        <v>0.27770134643755728</v>
      </c>
    </row>
    <row r="221" spans="3:13" x14ac:dyDescent="0.3">
      <c r="C221" s="20" t="s">
        <v>11</v>
      </c>
      <c r="D221" s="25" t="str">
        <f t="shared" si="131"/>
        <v>Serv</v>
      </c>
      <c r="E221" s="9">
        <v>0.34134542831764053</v>
      </c>
      <c r="F221" s="10">
        <v>0.22553363290877362</v>
      </c>
      <c r="G221" s="10">
        <v>0.32732522445354789</v>
      </c>
      <c r="H221" s="10">
        <v>0.30189633216029205</v>
      </c>
      <c r="I221" s="10">
        <v>0.2339264591980395</v>
      </c>
      <c r="J221" s="10">
        <v>0.19783657912119845</v>
      </c>
      <c r="K221" s="10">
        <v>0.21208586360029927</v>
      </c>
      <c r="L221" s="10">
        <v>0.21718139878593781</v>
      </c>
      <c r="M221" s="11">
        <v>1.3500727106841375</v>
      </c>
    </row>
    <row r="223" spans="3:13" x14ac:dyDescent="0.3">
      <c r="E223" s="16"/>
      <c r="F223" s="16"/>
      <c r="G223" s="18"/>
      <c r="I223" s="16"/>
      <c r="L223" s="16"/>
    </row>
    <row r="224" spans="3:13" x14ac:dyDescent="0.3">
      <c r="E224" s="16"/>
      <c r="F224" s="16"/>
      <c r="G224" s="18"/>
      <c r="I224" s="16"/>
      <c r="L224" s="16"/>
    </row>
    <row r="225" spans="5:12" x14ac:dyDescent="0.3">
      <c r="E225" s="16"/>
      <c r="F225" s="16"/>
      <c r="G225" s="18"/>
      <c r="I225" s="16"/>
      <c r="L225" s="16"/>
    </row>
    <row r="226" spans="5:12" x14ac:dyDescent="0.3">
      <c r="E226" s="16"/>
      <c r="F226" s="16"/>
      <c r="G226" s="18"/>
      <c r="I226" s="16"/>
      <c r="L226" s="16"/>
    </row>
    <row r="227" spans="5:12" x14ac:dyDescent="0.3">
      <c r="E227" s="16"/>
      <c r="F227" s="16"/>
      <c r="G227" s="18"/>
      <c r="I227" s="16"/>
      <c r="L227" s="16"/>
    </row>
    <row r="228" spans="5:12" x14ac:dyDescent="0.3">
      <c r="E228" s="16"/>
      <c r="F228" s="16"/>
      <c r="G228" s="18"/>
      <c r="I228" s="16"/>
      <c r="L228" s="16"/>
    </row>
    <row r="229" spans="5:12" x14ac:dyDescent="0.3">
      <c r="E229" s="16"/>
      <c r="F229" s="16"/>
      <c r="G229" s="18"/>
      <c r="I229" s="16"/>
      <c r="L229" s="16"/>
    </row>
    <row r="230" spans="5:12" x14ac:dyDescent="0.3">
      <c r="E230" s="16"/>
      <c r="F230" s="16"/>
      <c r="G230" s="18"/>
      <c r="I230" s="16"/>
      <c r="L230" s="16"/>
    </row>
    <row r="231" spans="5:12" x14ac:dyDescent="0.3">
      <c r="E231" s="16"/>
      <c r="F231" s="16"/>
      <c r="G231" s="18"/>
      <c r="I231" s="16"/>
      <c r="L231" s="16"/>
    </row>
    <row r="234" spans="5:12" x14ac:dyDescent="0.3">
      <c r="E234" s="16"/>
    </row>
    <row r="235" spans="5:12" x14ac:dyDescent="0.3">
      <c r="E235" s="16"/>
      <c r="F235" s="18"/>
    </row>
    <row r="236" spans="5:12" x14ac:dyDescent="0.3">
      <c r="E236" s="16"/>
      <c r="F236" s="18"/>
    </row>
    <row r="237" spans="5:12" x14ac:dyDescent="0.3">
      <c r="E237" s="16"/>
      <c r="F237" s="18"/>
    </row>
    <row r="238" spans="5:12" x14ac:dyDescent="0.3">
      <c r="E238" s="16"/>
      <c r="F238" s="18"/>
    </row>
    <row r="239" spans="5:12" x14ac:dyDescent="0.3">
      <c r="E239" s="16"/>
      <c r="F239" s="18"/>
    </row>
    <row r="240" spans="5:12" x14ac:dyDescent="0.3">
      <c r="E240" s="16"/>
      <c r="F240" s="18"/>
    </row>
    <row r="241" spans="5:6" x14ac:dyDescent="0.3">
      <c r="E241" s="16"/>
      <c r="F241" s="18"/>
    </row>
    <row r="242" spans="5:6" x14ac:dyDescent="0.3">
      <c r="E242" s="16"/>
      <c r="F242" s="18"/>
    </row>
    <row r="243" spans="5:6" x14ac:dyDescent="0.3">
      <c r="F243" s="18"/>
    </row>
  </sheetData>
  <conditionalFormatting sqref="E88:M88">
    <cfRule type="expression" dxfId="35" priority="2">
      <formula>E88&lt;E89</formula>
    </cfRule>
  </conditionalFormatting>
  <conditionalFormatting sqref="E89:M89">
    <cfRule type="expression" dxfId="34" priority="1">
      <formula>E89&lt;E88</formula>
    </cfRule>
  </conditionalFormatting>
  <conditionalFormatting sqref="E106:M115">
    <cfRule type="expression" dxfId="33" priority="11">
      <formula>E106&lt;0</formula>
    </cfRule>
  </conditionalFormatting>
  <conditionalFormatting sqref="E131:M133">
    <cfRule type="expression" dxfId="32" priority="9">
      <formula>E131&lt;0</formula>
    </cfRule>
  </conditionalFormatting>
  <conditionalFormatting sqref="E137:M145">
    <cfRule type="expression" dxfId="31" priority="10">
      <formula>E137&lt;0</formula>
    </cfRule>
  </conditionalFormatting>
  <conditionalFormatting sqref="N78:V8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0:V15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4:W172">
    <cfRule type="containsText" dxfId="30" priority="3" operator="containsText" text="FALSO">
      <formula>NOT(ISERROR(SEARCH("FALSO",O164)))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0:W142 V136:W1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C9C8-A6D3-4A5A-9CB0-A461C16A2D39}">
  <dimension ref="A3:AJ243"/>
  <sheetViews>
    <sheetView showGridLines="0" topLeftCell="A36" zoomScaleNormal="100" workbookViewId="0">
      <selection activeCell="E47" sqref="E47"/>
    </sheetView>
  </sheetViews>
  <sheetFormatPr defaultRowHeight="14.4" x14ac:dyDescent="0.3"/>
  <cols>
    <col min="1" max="1" width="12.6640625" style="65" customWidth="1"/>
    <col min="2" max="14" width="12.6640625" customWidth="1"/>
    <col min="15" max="15" width="16.6640625" bestFit="1" customWidth="1"/>
    <col min="16" max="23" width="12.6640625" customWidth="1"/>
    <col min="29" max="29" width="16.33203125" bestFit="1" customWidth="1"/>
  </cols>
  <sheetData>
    <row r="3" spans="3:18" ht="15" thickBot="1" x14ac:dyDescent="0.35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" thickBot="1" x14ac:dyDescent="0.35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3">
      <c r="C5" s="20" t="s">
        <v>1</v>
      </c>
      <c r="D5" s="28" t="s">
        <v>51</v>
      </c>
      <c r="E5" s="1">
        <v>10</v>
      </c>
      <c r="F5" s="2">
        <v>5</v>
      </c>
      <c r="G5" s="2">
        <v>10</v>
      </c>
      <c r="H5" s="2">
        <v>1</v>
      </c>
      <c r="I5" s="2">
        <v>0</v>
      </c>
      <c r="J5" s="2">
        <v>8</v>
      </c>
      <c r="K5" s="2">
        <v>3</v>
      </c>
      <c r="L5" s="2">
        <v>7</v>
      </c>
      <c r="M5" s="3">
        <v>2</v>
      </c>
      <c r="N5" s="24">
        <v>25</v>
      </c>
      <c r="O5" s="29">
        <f>+SUM(E5:N5)</f>
        <v>71</v>
      </c>
      <c r="P5" s="62" cm="1">
        <f t="array" ref="P5:P13">+MMULT(E21:M29,O5:O13)</f>
        <v>46</v>
      </c>
      <c r="Q5" s="61">
        <f>+P5+N5</f>
        <v>71</v>
      </c>
      <c r="R5" s="61" t="b">
        <f>+Q5=O5</f>
        <v>1</v>
      </c>
    </row>
    <row r="6" spans="3:18" x14ac:dyDescent="0.3">
      <c r="C6" s="20" t="s">
        <v>1</v>
      </c>
      <c r="D6" s="25" t="s">
        <v>52</v>
      </c>
      <c r="E6" s="5">
        <v>8</v>
      </c>
      <c r="F6" s="6">
        <v>3</v>
      </c>
      <c r="G6" s="6">
        <v>9</v>
      </c>
      <c r="H6" s="6">
        <v>4</v>
      </c>
      <c r="I6" s="6">
        <v>2</v>
      </c>
      <c r="J6" s="6">
        <v>10</v>
      </c>
      <c r="K6" s="6">
        <v>1</v>
      </c>
      <c r="L6" s="6">
        <v>4</v>
      </c>
      <c r="M6" s="7">
        <v>7</v>
      </c>
      <c r="N6" s="8">
        <v>7</v>
      </c>
      <c r="O6" s="30">
        <f t="shared" ref="O6:O13" si="0">+SUM(E6:N6)</f>
        <v>55</v>
      </c>
      <c r="P6" s="62">
        <v>48</v>
      </c>
      <c r="Q6" s="61">
        <f t="shared" ref="Q6:Q13" si="1">+P6+N6</f>
        <v>55</v>
      </c>
      <c r="R6" s="61" t="b">
        <f t="shared" ref="R6:R13" si="2">+Q6=O6</f>
        <v>1</v>
      </c>
    </row>
    <row r="7" spans="3:18" x14ac:dyDescent="0.3">
      <c r="C7" s="20" t="s">
        <v>1</v>
      </c>
      <c r="D7" s="25" t="s">
        <v>53</v>
      </c>
      <c r="E7" s="5">
        <v>0</v>
      </c>
      <c r="F7" s="6">
        <v>0</v>
      </c>
      <c r="G7" s="6">
        <v>0</v>
      </c>
      <c r="H7" s="6">
        <v>7</v>
      </c>
      <c r="I7" s="6">
        <v>4</v>
      </c>
      <c r="J7" s="6">
        <v>4</v>
      </c>
      <c r="K7" s="6">
        <v>7</v>
      </c>
      <c r="L7" s="6">
        <v>4</v>
      </c>
      <c r="M7" s="7">
        <v>7</v>
      </c>
      <c r="N7" s="8">
        <v>14</v>
      </c>
      <c r="O7" s="30">
        <f t="shared" si="0"/>
        <v>47</v>
      </c>
      <c r="P7" s="62">
        <v>33</v>
      </c>
      <c r="Q7" s="61">
        <f t="shared" si="1"/>
        <v>47</v>
      </c>
      <c r="R7" s="61" t="b">
        <f t="shared" si="2"/>
        <v>1</v>
      </c>
    </row>
    <row r="8" spans="3:18" x14ac:dyDescent="0.3">
      <c r="C8" s="20" t="s">
        <v>10</v>
      </c>
      <c r="D8" s="25" t="str">
        <f>+D5</f>
        <v>Agr</v>
      </c>
      <c r="E8" s="5">
        <v>9</v>
      </c>
      <c r="F8" s="6">
        <v>5</v>
      </c>
      <c r="G8" s="6">
        <v>4</v>
      </c>
      <c r="H8" s="6">
        <v>7</v>
      </c>
      <c r="I8" s="6">
        <v>10</v>
      </c>
      <c r="J8" s="6">
        <v>9</v>
      </c>
      <c r="K8" s="6">
        <v>10</v>
      </c>
      <c r="L8" s="6">
        <v>9</v>
      </c>
      <c r="M8" s="7">
        <v>9</v>
      </c>
      <c r="N8" s="8">
        <v>10</v>
      </c>
      <c r="O8" s="30">
        <f t="shared" si="0"/>
        <v>82</v>
      </c>
      <c r="P8" s="62">
        <v>72</v>
      </c>
      <c r="Q8" s="61">
        <f t="shared" si="1"/>
        <v>82</v>
      </c>
      <c r="R8" s="61" t="b">
        <f t="shared" si="2"/>
        <v>1</v>
      </c>
    </row>
    <row r="9" spans="3:18" x14ac:dyDescent="0.3">
      <c r="C9" s="20" t="s">
        <v>10</v>
      </c>
      <c r="D9" s="25" t="str">
        <f t="shared" ref="D9:D13" si="3">+D6</f>
        <v>Ind</v>
      </c>
      <c r="E9" s="5">
        <v>4</v>
      </c>
      <c r="F9" s="6">
        <v>2</v>
      </c>
      <c r="G9" s="6">
        <v>3</v>
      </c>
      <c r="H9" s="6">
        <v>6</v>
      </c>
      <c r="I9" s="6">
        <v>7</v>
      </c>
      <c r="J9" s="6">
        <v>4</v>
      </c>
      <c r="K9" s="6">
        <v>9</v>
      </c>
      <c r="L9" s="6">
        <v>2</v>
      </c>
      <c r="M9" s="7">
        <v>8</v>
      </c>
      <c r="N9" s="8">
        <v>5</v>
      </c>
      <c r="O9" s="30">
        <f t="shared" si="0"/>
        <v>50</v>
      </c>
      <c r="P9" s="62">
        <v>45</v>
      </c>
      <c r="Q9" s="61">
        <f t="shared" si="1"/>
        <v>50</v>
      </c>
      <c r="R9" s="61" t="b">
        <f t="shared" si="2"/>
        <v>1</v>
      </c>
    </row>
    <row r="10" spans="3:18" x14ac:dyDescent="0.3">
      <c r="C10" s="20" t="s">
        <v>10</v>
      </c>
      <c r="D10" s="25" t="str">
        <f t="shared" si="3"/>
        <v>Serv</v>
      </c>
      <c r="E10" s="5">
        <v>6</v>
      </c>
      <c r="F10" s="6">
        <v>5</v>
      </c>
      <c r="G10" s="6">
        <v>4</v>
      </c>
      <c r="H10" s="6">
        <v>1</v>
      </c>
      <c r="I10" s="6">
        <v>9</v>
      </c>
      <c r="J10" s="6">
        <v>2</v>
      </c>
      <c r="K10" s="6">
        <v>1</v>
      </c>
      <c r="L10" s="6">
        <v>6</v>
      </c>
      <c r="M10" s="7">
        <v>1</v>
      </c>
      <c r="N10" s="8">
        <v>20</v>
      </c>
      <c r="O10" s="30">
        <f t="shared" si="0"/>
        <v>55</v>
      </c>
      <c r="P10" s="62">
        <v>35</v>
      </c>
      <c r="Q10" s="61">
        <f t="shared" si="1"/>
        <v>55</v>
      </c>
      <c r="R10" s="61" t="b">
        <f t="shared" si="2"/>
        <v>1</v>
      </c>
    </row>
    <row r="11" spans="3:18" x14ac:dyDescent="0.3">
      <c r="C11" s="20" t="s">
        <v>11</v>
      </c>
      <c r="D11" s="25" t="str">
        <f t="shared" si="3"/>
        <v>Agr</v>
      </c>
      <c r="E11" s="5">
        <v>3</v>
      </c>
      <c r="F11" s="6">
        <v>10</v>
      </c>
      <c r="G11" s="6">
        <v>8</v>
      </c>
      <c r="H11" s="6">
        <v>9</v>
      </c>
      <c r="I11" s="6">
        <v>10</v>
      </c>
      <c r="J11" s="6">
        <v>0</v>
      </c>
      <c r="K11" s="6">
        <v>7</v>
      </c>
      <c r="L11" s="6">
        <v>9</v>
      </c>
      <c r="M11" s="7">
        <v>8</v>
      </c>
      <c r="N11" s="8">
        <v>15</v>
      </c>
      <c r="O11" s="30">
        <f t="shared" si="0"/>
        <v>79</v>
      </c>
      <c r="P11" s="62">
        <v>64</v>
      </c>
      <c r="Q11" s="61">
        <f t="shared" si="1"/>
        <v>79</v>
      </c>
      <c r="R11" s="61" t="b">
        <f t="shared" si="2"/>
        <v>1</v>
      </c>
    </row>
    <row r="12" spans="3:18" x14ac:dyDescent="0.3">
      <c r="C12" s="20" t="s">
        <v>11</v>
      </c>
      <c r="D12" s="25" t="str">
        <f t="shared" si="3"/>
        <v>Ind</v>
      </c>
      <c r="E12" s="5">
        <v>1</v>
      </c>
      <c r="F12" s="6">
        <v>8</v>
      </c>
      <c r="G12" s="6">
        <v>0</v>
      </c>
      <c r="H12" s="6">
        <v>9</v>
      </c>
      <c r="I12" s="6">
        <v>0</v>
      </c>
      <c r="J12" s="6">
        <v>0</v>
      </c>
      <c r="K12" s="6">
        <v>8</v>
      </c>
      <c r="L12" s="6">
        <v>10</v>
      </c>
      <c r="M12" s="7">
        <v>1</v>
      </c>
      <c r="N12" s="8">
        <v>28</v>
      </c>
      <c r="O12" s="30">
        <f t="shared" si="0"/>
        <v>65</v>
      </c>
      <c r="P12" s="62">
        <v>37</v>
      </c>
      <c r="Q12" s="61">
        <f t="shared" si="1"/>
        <v>65</v>
      </c>
      <c r="R12" s="61" t="b">
        <f t="shared" si="2"/>
        <v>1</v>
      </c>
    </row>
    <row r="13" spans="3:18" x14ac:dyDescent="0.3">
      <c r="C13" s="20" t="s">
        <v>11</v>
      </c>
      <c r="D13" s="25" t="str">
        <f t="shared" si="3"/>
        <v>Serv</v>
      </c>
      <c r="E13" s="9">
        <v>10</v>
      </c>
      <c r="F13" s="10">
        <v>2</v>
      </c>
      <c r="G13" s="10">
        <v>4</v>
      </c>
      <c r="H13" s="10">
        <v>10</v>
      </c>
      <c r="I13" s="10">
        <v>0</v>
      </c>
      <c r="J13" s="10">
        <v>0</v>
      </c>
      <c r="K13" s="10">
        <v>3</v>
      </c>
      <c r="L13" s="10">
        <v>0</v>
      </c>
      <c r="M13" s="11">
        <v>7</v>
      </c>
      <c r="N13" s="12">
        <v>24</v>
      </c>
      <c r="O13" s="31">
        <f t="shared" si="0"/>
        <v>60</v>
      </c>
      <c r="P13" s="62">
        <v>36</v>
      </c>
      <c r="Q13" s="61">
        <f t="shared" si="1"/>
        <v>60</v>
      </c>
      <c r="R13" s="61" t="b">
        <f t="shared" si="2"/>
        <v>1</v>
      </c>
    </row>
    <row r="14" spans="3:18" x14ac:dyDescent="0.3">
      <c r="D14" s="22" t="s">
        <v>9</v>
      </c>
      <c r="E14" s="13">
        <v>20</v>
      </c>
      <c r="F14" s="14">
        <v>15</v>
      </c>
      <c r="G14" s="14">
        <v>5</v>
      </c>
      <c r="H14" s="14">
        <v>28</v>
      </c>
      <c r="I14" s="14">
        <v>8</v>
      </c>
      <c r="J14" s="14">
        <v>18</v>
      </c>
      <c r="K14" s="14">
        <v>30</v>
      </c>
      <c r="L14" s="14">
        <v>14</v>
      </c>
      <c r="M14" s="15">
        <v>10</v>
      </c>
      <c r="N14" s="19">
        <f>+SUM(E5:M13)</f>
        <v>416</v>
      </c>
      <c r="O14" s="19">
        <f>SUM(O5:O13)</f>
        <v>564</v>
      </c>
      <c r="R14" s="18"/>
    </row>
    <row r="15" spans="3:18" x14ac:dyDescent="0.3">
      <c r="D15" s="20" t="s">
        <v>8</v>
      </c>
      <c r="E15" s="13">
        <f t="shared" ref="E15:L15" si="4">SUM(E5:E14)</f>
        <v>71</v>
      </c>
      <c r="F15" s="14">
        <f t="shared" si="4"/>
        <v>55</v>
      </c>
      <c r="G15" s="14">
        <f t="shared" si="4"/>
        <v>47</v>
      </c>
      <c r="H15" s="14">
        <f t="shared" si="4"/>
        <v>82</v>
      </c>
      <c r="I15" s="14">
        <f t="shared" si="4"/>
        <v>50</v>
      </c>
      <c r="J15" s="14">
        <f t="shared" si="4"/>
        <v>55</v>
      </c>
      <c r="K15" s="14">
        <f t="shared" si="4"/>
        <v>79</v>
      </c>
      <c r="L15" s="14">
        <f t="shared" si="4"/>
        <v>65</v>
      </c>
      <c r="M15" s="15">
        <f>SUM(M5:M14)</f>
        <v>60</v>
      </c>
      <c r="R15" s="18"/>
    </row>
    <row r="16" spans="3:18" x14ac:dyDescent="0.3">
      <c r="E16" s="16" cm="1">
        <f t="array" ref="E16:M16">+TRANSPOSE(O5:O13)</f>
        <v>71</v>
      </c>
      <c r="F16" s="16">
        <v>55</v>
      </c>
      <c r="G16" s="16">
        <v>47</v>
      </c>
      <c r="H16" s="16">
        <v>82</v>
      </c>
      <c r="I16" s="16">
        <v>50</v>
      </c>
      <c r="J16" s="16">
        <v>55</v>
      </c>
      <c r="K16" s="16">
        <v>79</v>
      </c>
      <c r="L16" s="16">
        <v>65</v>
      </c>
      <c r="M16" s="16">
        <v>60</v>
      </c>
      <c r="R16" s="18"/>
    </row>
    <row r="17" spans="3:18" x14ac:dyDescent="0.3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3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" thickBot="1" x14ac:dyDescent="0.35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" thickBot="1" x14ac:dyDescent="0.35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3">
      <c r="C21" s="20" t="s">
        <v>1</v>
      </c>
      <c r="D21" s="28" t="s">
        <v>51</v>
      </c>
      <c r="E21" s="1">
        <f>+E5/E$15</f>
        <v>0.14084507042253522</v>
      </c>
      <c r="F21" s="2">
        <f t="shared" ref="F21:M21" si="6">+F5/F$15</f>
        <v>9.0909090909090912E-2</v>
      </c>
      <c r="G21" s="2">
        <f t="shared" si="6"/>
        <v>0.21276595744680851</v>
      </c>
      <c r="H21" s="2">
        <f t="shared" si="6"/>
        <v>1.2195121951219513E-2</v>
      </c>
      <c r="I21" s="2">
        <f t="shared" si="6"/>
        <v>0</v>
      </c>
      <c r="J21" s="2">
        <f t="shared" si="6"/>
        <v>0.14545454545454545</v>
      </c>
      <c r="K21" s="2">
        <f t="shared" si="6"/>
        <v>3.7974683544303799E-2</v>
      </c>
      <c r="L21" s="2">
        <f t="shared" si="6"/>
        <v>0.1076923076923077</v>
      </c>
      <c r="M21" s="3">
        <f t="shared" si="6"/>
        <v>3.3333333333333333E-2</v>
      </c>
    </row>
    <row r="22" spans="3:18" x14ac:dyDescent="0.3">
      <c r="C22" s="20" t="s">
        <v>1</v>
      </c>
      <c r="D22" s="25" t="s">
        <v>52</v>
      </c>
      <c r="E22" s="5">
        <f t="shared" ref="E22:M30" si="7">+E6/E$15</f>
        <v>0.11267605633802817</v>
      </c>
      <c r="F22" s="6">
        <f t="shared" si="7"/>
        <v>5.4545454545454543E-2</v>
      </c>
      <c r="G22" s="6">
        <f t="shared" si="7"/>
        <v>0.19148936170212766</v>
      </c>
      <c r="H22" s="6">
        <f t="shared" si="7"/>
        <v>4.878048780487805E-2</v>
      </c>
      <c r="I22" s="6">
        <f t="shared" si="7"/>
        <v>0.04</v>
      </c>
      <c r="J22" s="6">
        <f t="shared" si="7"/>
        <v>0.18181818181818182</v>
      </c>
      <c r="K22" s="6">
        <f t="shared" si="7"/>
        <v>1.2658227848101266E-2</v>
      </c>
      <c r="L22" s="6">
        <f t="shared" si="7"/>
        <v>6.1538461538461542E-2</v>
      </c>
      <c r="M22" s="7">
        <f t="shared" si="7"/>
        <v>0.11666666666666667</v>
      </c>
    </row>
    <row r="23" spans="3:18" x14ac:dyDescent="0.3">
      <c r="C23" s="20" t="s">
        <v>1</v>
      </c>
      <c r="D23" s="25" t="s">
        <v>53</v>
      </c>
      <c r="E23" s="5">
        <f t="shared" si="7"/>
        <v>0</v>
      </c>
      <c r="F23" s="6">
        <f t="shared" si="7"/>
        <v>0</v>
      </c>
      <c r="G23" s="6">
        <f t="shared" si="7"/>
        <v>0</v>
      </c>
      <c r="H23" s="6">
        <f t="shared" si="7"/>
        <v>8.5365853658536592E-2</v>
      </c>
      <c r="I23" s="6">
        <f t="shared" si="7"/>
        <v>0.08</v>
      </c>
      <c r="J23" s="6">
        <f t="shared" si="7"/>
        <v>7.2727272727272724E-2</v>
      </c>
      <c r="K23" s="6">
        <f t="shared" si="7"/>
        <v>8.8607594936708861E-2</v>
      </c>
      <c r="L23" s="6">
        <f t="shared" si="7"/>
        <v>6.1538461538461542E-2</v>
      </c>
      <c r="M23" s="7">
        <f t="shared" si="7"/>
        <v>0.11666666666666667</v>
      </c>
    </row>
    <row r="24" spans="3:18" x14ac:dyDescent="0.3">
      <c r="C24" s="20" t="s">
        <v>10</v>
      </c>
      <c r="D24" s="25" t="str">
        <f>+D21</f>
        <v>Agr</v>
      </c>
      <c r="E24" s="5">
        <f t="shared" si="7"/>
        <v>0.12676056338028169</v>
      </c>
      <c r="F24" s="6">
        <f t="shared" si="7"/>
        <v>9.0909090909090912E-2</v>
      </c>
      <c r="G24" s="6">
        <f t="shared" si="7"/>
        <v>8.5106382978723402E-2</v>
      </c>
      <c r="H24" s="6">
        <f t="shared" si="7"/>
        <v>8.5365853658536592E-2</v>
      </c>
      <c r="I24" s="6">
        <f t="shared" si="7"/>
        <v>0.2</v>
      </c>
      <c r="J24" s="6">
        <f t="shared" si="7"/>
        <v>0.16363636363636364</v>
      </c>
      <c r="K24" s="6">
        <f t="shared" si="7"/>
        <v>0.12658227848101267</v>
      </c>
      <c r="L24" s="6">
        <f t="shared" si="7"/>
        <v>0.13846153846153847</v>
      </c>
      <c r="M24" s="7">
        <f t="shared" si="7"/>
        <v>0.15</v>
      </c>
    </row>
    <row r="25" spans="3:18" x14ac:dyDescent="0.3">
      <c r="C25" s="20" t="s">
        <v>10</v>
      </c>
      <c r="D25" s="25" t="str">
        <f t="shared" ref="D25:D29" si="8">+D22</f>
        <v>Ind</v>
      </c>
      <c r="E25" s="5">
        <f t="shared" si="7"/>
        <v>5.6338028169014086E-2</v>
      </c>
      <c r="F25" s="6">
        <f t="shared" si="7"/>
        <v>3.6363636363636362E-2</v>
      </c>
      <c r="G25" s="6">
        <f t="shared" si="7"/>
        <v>6.3829787234042548E-2</v>
      </c>
      <c r="H25" s="6">
        <f t="shared" si="7"/>
        <v>7.3170731707317069E-2</v>
      </c>
      <c r="I25" s="6">
        <f t="shared" si="7"/>
        <v>0.14000000000000001</v>
      </c>
      <c r="J25" s="6">
        <f t="shared" si="7"/>
        <v>7.2727272727272724E-2</v>
      </c>
      <c r="K25" s="6">
        <f t="shared" si="7"/>
        <v>0.11392405063291139</v>
      </c>
      <c r="L25" s="6">
        <f t="shared" si="7"/>
        <v>3.0769230769230771E-2</v>
      </c>
      <c r="M25" s="7">
        <f t="shared" si="7"/>
        <v>0.13333333333333333</v>
      </c>
    </row>
    <row r="26" spans="3:18" x14ac:dyDescent="0.3">
      <c r="C26" s="20" t="s">
        <v>10</v>
      </c>
      <c r="D26" s="25" t="str">
        <f t="shared" si="8"/>
        <v>Serv</v>
      </c>
      <c r="E26" s="5">
        <f t="shared" si="7"/>
        <v>8.4507042253521125E-2</v>
      </c>
      <c r="F26" s="6">
        <f t="shared" si="7"/>
        <v>9.0909090909090912E-2</v>
      </c>
      <c r="G26" s="6">
        <f t="shared" si="7"/>
        <v>8.5106382978723402E-2</v>
      </c>
      <c r="H26" s="6">
        <f t="shared" si="7"/>
        <v>1.2195121951219513E-2</v>
      </c>
      <c r="I26" s="6">
        <f t="shared" si="7"/>
        <v>0.18</v>
      </c>
      <c r="J26" s="6">
        <f t="shared" si="7"/>
        <v>3.6363636363636362E-2</v>
      </c>
      <c r="K26" s="6">
        <f t="shared" si="7"/>
        <v>1.2658227848101266E-2</v>
      </c>
      <c r="L26" s="6">
        <f t="shared" si="7"/>
        <v>9.2307692307692313E-2</v>
      </c>
      <c r="M26" s="7">
        <f t="shared" si="7"/>
        <v>1.6666666666666666E-2</v>
      </c>
    </row>
    <row r="27" spans="3:18" x14ac:dyDescent="0.3">
      <c r="C27" s="20" t="s">
        <v>11</v>
      </c>
      <c r="D27" s="25" t="str">
        <f t="shared" si="8"/>
        <v>Agr</v>
      </c>
      <c r="E27" s="5">
        <f t="shared" si="7"/>
        <v>4.2253521126760563E-2</v>
      </c>
      <c r="F27" s="6">
        <f t="shared" si="7"/>
        <v>0.18181818181818182</v>
      </c>
      <c r="G27" s="6">
        <f t="shared" si="7"/>
        <v>0.1702127659574468</v>
      </c>
      <c r="H27" s="6">
        <f t="shared" si="7"/>
        <v>0.10975609756097561</v>
      </c>
      <c r="I27" s="6">
        <f t="shared" si="7"/>
        <v>0.2</v>
      </c>
      <c r="J27" s="6">
        <f t="shared" si="7"/>
        <v>0</v>
      </c>
      <c r="K27" s="6">
        <f t="shared" si="7"/>
        <v>8.8607594936708861E-2</v>
      </c>
      <c r="L27" s="6">
        <f t="shared" si="7"/>
        <v>0.13846153846153847</v>
      </c>
      <c r="M27" s="7">
        <f t="shared" si="7"/>
        <v>0.13333333333333333</v>
      </c>
    </row>
    <row r="28" spans="3:18" x14ac:dyDescent="0.3">
      <c r="C28" s="20" t="s">
        <v>11</v>
      </c>
      <c r="D28" s="25" t="str">
        <f t="shared" si="8"/>
        <v>Ind</v>
      </c>
      <c r="E28" s="5">
        <f t="shared" si="7"/>
        <v>1.4084507042253521E-2</v>
      </c>
      <c r="F28" s="6">
        <f t="shared" si="7"/>
        <v>0.14545454545454545</v>
      </c>
      <c r="G28" s="6">
        <f t="shared" si="7"/>
        <v>0</v>
      </c>
      <c r="H28" s="6">
        <f t="shared" si="7"/>
        <v>0.10975609756097561</v>
      </c>
      <c r="I28" s="6">
        <f t="shared" si="7"/>
        <v>0</v>
      </c>
      <c r="J28" s="6">
        <f t="shared" si="7"/>
        <v>0</v>
      </c>
      <c r="K28" s="6">
        <f t="shared" si="7"/>
        <v>0.10126582278481013</v>
      </c>
      <c r="L28" s="6">
        <f t="shared" si="7"/>
        <v>0.15384615384615385</v>
      </c>
      <c r="M28" s="7">
        <f t="shared" si="7"/>
        <v>1.6666666666666666E-2</v>
      </c>
    </row>
    <row r="29" spans="3:18" x14ac:dyDescent="0.3">
      <c r="C29" s="20" t="s">
        <v>11</v>
      </c>
      <c r="D29" s="25" t="str">
        <f t="shared" si="8"/>
        <v>Serv</v>
      </c>
      <c r="E29" s="9">
        <f t="shared" si="7"/>
        <v>0.14084507042253522</v>
      </c>
      <c r="F29" s="10">
        <f t="shared" si="7"/>
        <v>3.6363636363636362E-2</v>
      </c>
      <c r="G29" s="10">
        <f t="shared" si="7"/>
        <v>8.5106382978723402E-2</v>
      </c>
      <c r="H29" s="10">
        <f t="shared" si="7"/>
        <v>0.12195121951219512</v>
      </c>
      <c r="I29" s="10">
        <f t="shared" si="7"/>
        <v>0</v>
      </c>
      <c r="J29" s="10">
        <f t="shared" si="7"/>
        <v>0</v>
      </c>
      <c r="K29" s="10">
        <f t="shared" si="7"/>
        <v>3.7974683544303799E-2</v>
      </c>
      <c r="L29" s="10">
        <f t="shared" si="7"/>
        <v>0</v>
      </c>
      <c r="M29" s="11">
        <f t="shared" si="7"/>
        <v>0.11666666666666667</v>
      </c>
    </row>
    <row r="30" spans="3:18" x14ac:dyDescent="0.3">
      <c r="D30" s="22" t="s">
        <v>9</v>
      </c>
      <c r="E30" s="13">
        <f t="shared" si="7"/>
        <v>0.28169014084507044</v>
      </c>
      <c r="F30" s="14">
        <f t="shared" si="7"/>
        <v>0.27272727272727271</v>
      </c>
      <c r="G30" s="14">
        <f t="shared" si="7"/>
        <v>0.10638297872340426</v>
      </c>
      <c r="H30" s="14">
        <f t="shared" si="7"/>
        <v>0.34146341463414637</v>
      </c>
      <c r="I30" s="14">
        <f t="shared" si="7"/>
        <v>0.16</v>
      </c>
      <c r="J30" s="14">
        <f t="shared" si="7"/>
        <v>0.32727272727272727</v>
      </c>
      <c r="K30" s="14">
        <f t="shared" si="7"/>
        <v>0.379746835443038</v>
      </c>
      <c r="L30" s="14">
        <f t="shared" si="7"/>
        <v>0.2153846153846154</v>
      </c>
      <c r="M30" s="15">
        <f t="shared" si="7"/>
        <v>0.16666666666666666</v>
      </c>
    </row>
    <row r="31" spans="3:18" x14ac:dyDescent="0.3">
      <c r="D31" s="20" t="s">
        <v>8</v>
      </c>
      <c r="E31" s="13">
        <f t="shared" ref="E31:M31" si="9">SUM(E21:E30)</f>
        <v>1</v>
      </c>
      <c r="F31" s="14">
        <f t="shared" si="9"/>
        <v>1</v>
      </c>
      <c r="G31" s="14">
        <f t="shared" si="9"/>
        <v>1</v>
      </c>
      <c r="H31" s="14">
        <f t="shared" si="9"/>
        <v>1</v>
      </c>
      <c r="I31" s="14">
        <f t="shared" si="9"/>
        <v>1</v>
      </c>
      <c r="J31" s="14">
        <f t="shared" si="9"/>
        <v>1</v>
      </c>
      <c r="K31" s="14">
        <f t="shared" si="9"/>
        <v>1</v>
      </c>
      <c r="L31" s="14">
        <f t="shared" si="9"/>
        <v>1</v>
      </c>
      <c r="M31" s="15">
        <f t="shared" si="9"/>
        <v>1</v>
      </c>
    </row>
    <row r="34" spans="2:18" ht="15" thickBot="1" x14ac:dyDescent="0.35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2:18" ht="15" thickBot="1" x14ac:dyDescent="0.35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2:18" x14ac:dyDescent="0.3">
      <c r="C36" s="20" t="s">
        <v>1</v>
      </c>
      <c r="D36" s="28" t="s">
        <v>51</v>
      </c>
      <c r="E36" s="1" cm="1">
        <f t="array" ref="E36:M44">+MINVERSE(_xlfn.MUNIT(COUNTA($D$36:$D$44))-E21:M29)</f>
        <v>1.3396897673098553</v>
      </c>
      <c r="F36" s="2">
        <v>0.29313766151442472</v>
      </c>
      <c r="G36" s="2">
        <v>0.46062080591971027</v>
      </c>
      <c r="H36" s="2">
        <v>0.20047114765858043</v>
      </c>
      <c r="I36" s="2">
        <v>0.22471967444765886</v>
      </c>
      <c r="J36" s="2">
        <v>0.34329239630226011</v>
      </c>
      <c r="K36" s="2">
        <v>0.21398444112354956</v>
      </c>
      <c r="L36" s="2">
        <v>0.33876647757551959</v>
      </c>
      <c r="M36" s="3">
        <v>0.26323813083081754</v>
      </c>
      <c r="N36" s="16" cm="1">
        <f t="array" ref="N36:N44">+MMULT(_xlfn.ANCHORARRAY(E36),N5:N13)</f>
        <v>71</v>
      </c>
    </row>
    <row r="37" spans="2:18" x14ac:dyDescent="0.3">
      <c r="C37" s="20" t="s">
        <v>1</v>
      </c>
      <c r="D37" s="25" t="s">
        <v>52</v>
      </c>
      <c r="E37" s="5">
        <v>0.33305376452405477</v>
      </c>
      <c r="F37" s="6">
        <v>1.2588962622476694</v>
      </c>
      <c r="G37" s="6">
        <v>0.44906571639362902</v>
      </c>
      <c r="H37" s="6">
        <v>0.24914151781031268</v>
      </c>
      <c r="I37" s="6">
        <v>0.2850825641197372</v>
      </c>
      <c r="J37" s="6">
        <v>0.38551433058519635</v>
      </c>
      <c r="K37" s="6">
        <v>0.19834507137089469</v>
      </c>
      <c r="L37" s="6">
        <v>0.29225190328391093</v>
      </c>
      <c r="M37" s="7">
        <v>0.36621325203064486</v>
      </c>
      <c r="N37" s="16">
        <v>55.000000000000007</v>
      </c>
    </row>
    <row r="38" spans="2:18" x14ac:dyDescent="0.3">
      <c r="C38" s="20" t="s">
        <v>1</v>
      </c>
      <c r="D38" s="25" t="s">
        <v>53</v>
      </c>
      <c r="E38" s="5">
        <v>0.16096426404995831</v>
      </c>
      <c r="F38" s="6">
        <v>0.16098912768389811</v>
      </c>
      <c r="G38" s="6">
        <v>1.1866305477256527</v>
      </c>
      <c r="H38" s="6">
        <v>0.24266960433010817</v>
      </c>
      <c r="I38" s="6">
        <v>0.27162888961053594</v>
      </c>
      <c r="J38" s="6">
        <v>0.20593716184064856</v>
      </c>
      <c r="K38" s="6">
        <v>0.23314113071157197</v>
      </c>
      <c r="L38" s="6">
        <v>0.22869828937505449</v>
      </c>
      <c r="M38" s="7">
        <v>0.3096620435609494</v>
      </c>
      <c r="N38" s="16">
        <v>47.000000000000014</v>
      </c>
    </row>
    <row r="39" spans="2:18" x14ac:dyDescent="0.3">
      <c r="C39" s="20" t="s">
        <v>10</v>
      </c>
      <c r="D39" s="25" t="str">
        <f>+D36</f>
        <v>Agr</v>
      </c>
      <c r="E39" s="5">
        <v>0.46948940027866004</v>
      </c>
      <c r="F39" s="6">
        <v>0.42979983594636084</v>
      </c>
      <c r="G39" s="6">
        <v>0.50026321949972674</v>
      </c>
      <c r="H39" s="6">
        <v>1.4082652483739835</v>
      </c>
      <c r="I39" s="6">
        <v>0.59296552145230841</v>
      </c>
      <c r="J39" s="6">
        <v>0.47360784454465799</v>
      </c>
      <c r="K39" s="6">
        <v>0.42917417879158681</v>
      </c>
      <c r="L39" s="6">
        <v>0.50129474506177585</v>
      </c>
      <c r="M39" s="7">
        <v>0.55237410595478087</v>
      </c>
      <c r="N39" s="16">
        <v>82</v>
      </c>
    </row>
    <row r="40" spans="2:18" x14ac:dyDescent="0.3">
      <c r="C40" s="20" t="s">
        <v>10</v>
      </c>
      <c r="D40" s="25" t="str">
        <f t="shared" ref="D40:D44" si="10">+D37</f>
        <v>Ind</v>
      </c>
      <c r="E40" s="5">
        <v>0.27827723239842433</v>
      </c>
      <c r="F40" s="6">
        <v>0.24820393574606325</v>
      </c>
      <c r="G40" s="6">
        <v>0.33029476378346578</v>
      </c>
      <c r="H40" s="6">
        <v>0.28495600131722088</v>
      </c>
      <c r="I40" s="6">
        <v>1.3995953346694374</v>
      </c>
      <c r="J40" s="6">
        <v>0.26778154004367211</v>
      </c>
      <c r="K40" s="6">
        <v>0.31054185905945586</v>
      </c>
      <c r="L40" s="6">
        <v>0.25504174687087422</v>
      </c>
      <c r="M40" s="7">
        <v>0.40329377754913653</v>
      </c>
      <c r="N40" s="16">
        <v>50</v>
      </c>
    </row>
    <row r="41" spans="2:18" x14ac:dyDescent="0.3">
      <c r="C41" s="20" t="s">
        <v>10</v>
      </c>
      <c r="D41" s="25" t="str">
        <f t="shared" si="10"/>
        <v>Serv</v>
      </c>
      <c r="E41" s="5">
        <v>0.24935170583985158</v>
      </c>
      <c r="F41" s="6">
        <v>0.25257975039975866</v>
      </c>
      <c r="G41" s="6">
        <v>0.28900630839132929</v>
      </c>
      <c r="H41" s="6">
        <v>0.17116188311097175</v>
      </c>
      <c r="I41" s="6">
        <v>0.36899674724360437</v>
      </c>
      <c r="J41" s="6">
        <v>1.201756232476507</v>
      </c>
      <c r="K41" s="6">
        <v>0.16782504737118717</v>
      </c>
      <c r="L41" s="6">
        <v>0.27111308072234536</v>
      </c>
      <c r="M41" s="7">
        <v>0.21882464983647648</v>
      </c>
      <c r="N41" s="16">
        <v>55</v>
      </c>
    </row>
    <row r="42" spans="2:18" x14ac:dyDescent="0.3">
      <c r="C42" s="20" t="s">
        <v>11</v>
      </c>
      <c r="D42" s="25" t="str">
        <f t="shared" si="10"/>
        <v>Agr</v>
      </c>
      <c r="E42" s="5">
        <v>0.35214837075990457</v>
      </c>
      <c r="F42" s="6">
        <v>0.48083150088067539</v>
      </c>
      <c r="G42" s="6">
        <v>0.54248305189281365</v>
      </c>
      <c r="H42" s="6">
        <v>0.42036737225086895</v>
      </c>
      <c r="I42" s="6">
        <v>0.55309703312036218</v>
      </c>
      <c r="J42" s="6">
        <v>0.29794582387163238</v>
      </c>
      <c r="K42" s="6">
        <v>1.376639107748959</v>
      </c>
      <c r="L42" s="6">
        <v>0.46591316610695016</v>
      </c>
      <c r="M42" s="7">
        <v>0.52551986939858886</v>
      </c>
      <c r="N42" s="16">
        <v>79.000000000000014</v>
      </c>
    </row>
    <row r="43" spans="2:18" x14ac:dyDescent="0.3">
      <c r="C43" s="20" t="s">
        <v>11</v>
      </c>
      <c r="D43" s="25" t="str">
        <f t="shared" si="10"/>
        <v>Ind</v>
      </c>
      <c r="E43" s="5">
        <v>0.18895230008671562</v>
      </c>
      <c r="F43" s="6">
        <v>0.33840247482967128</v>
      </c>
      <c r="G43" s="6">
        <v>0.22055756496026482</v>
      </c>
      <c r="H43" s="6">
        <v>0.28461936418358202</v>
      </c>
      <c r="I43" s="6">
        <v>0.19938770529705943</v>
      </c>
      <c r="J43" s="6">
        <v>0.17239619825796176</v>
      </c>
      <c r="K43" s="6">
        <v>0.26168766921156789</v>
      </c>
      <c r="L43" s="6">
        <v>1.3619713120084544</v>
      </c>
      <c r="M43" s="7">
        <v>0.22783338986208793</v>
      </c>
      <c r="N43" s="16">
        <v>65</v>
      </c>
    </row>
    <row r="44" spans="2:18" x14ac:dyDescent="0.3">
      <c r="C44" s="20" t="s">
        <v>11</v>
      </c>
      <c r="D44" s="25" t="str">
        <f t="shared" si="10"/>
        <v>Serv</v>
      </c>
      <c r="E44" s="9">
        <v>0.32278455821683549</v>
      </c>
      <c r="F44" s="10">
        <v>0.19408333704833722</v>
      </c>
      <c r="G44" s="10">
        <v>0.29864603550568125</v>
      </c>
      <c r="H44" s="10">
        <v>0.27809522164442302</v>
      </c>
      <c r="I44" s="10">
        <v>0.17937871997805888</v>
      </c>
      <c r="J44" s="10">
        <v>0.16864275194250614</v>
      </c>
      <c r="K44" s="10">
        <v>0.1831797159010346</v>
      </c>
      <c r="L44" s="10">
        <v>0.17731814158643994</v>
      </c>
      <c r="M44" s="11">
        <v>1.3178105679183645</v>
      </c>
      <c r="N44" s="16">
        <v>60.000000000000021</v>
      </c>
    </row>
    <row r="45" spans="2:18" ht="15" thickBot="1" x14ac:dyDescent="0.35"/>
    <row r="46" spans="2:18" ht="15" thickBot="1" x14ac:dyDescent="0.35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2:18" x14ac:dyDescent="0.3">
      <c r="B47" s="18"/>
      <c r="C47" s="22" t="s">
        <v>1</v>
      </c>
      <c r="D47" s="28" t="s">
        <v>51</v>
      </c>
      <c r="E47" s="140">
        <f>+IO_sub_model!E47+IO_sub_model!B188</f>
        <v>0</v>
      </c>
      <c r="F47" s="35">
        <f>1-E47</f>
        <v>1</v>
      </c>
      <c r="G47" s="1" cm="1">
        <f t="array" ref="G47:G55">+N5:N13</f>
        <v>25</v>
      </c>
      <c r="H47" s="3">
        <f>+G47*F47</f>
        <v>25</v>
      </c>
      <c r="I47" s="18"/>
      <c r="J47" s="22" t="s">
        <v>1</v>
      </c>
      <c r="K47" s="28" t="s">
        <v>51</v>
      </c>
      <c r="L47" s="140">
        <f>+IO_sub_model!L47</f>
        <v>0.2</v>
      </c>
      <c r="M47" s="35">
        <f>1-L47</f>
        <v>0.8</v>
      </c>
      <c r="N47" s="1" cm="1">
        <f t="array" ref="N47:N55">+O5:O13</f>
        <v>71</v>
      </c>
      <c r="O47" s="3">
        <f>+N47*M47</f>
        <v>56.800000000000004</v>
      </c>
      <c r="P47" s="18"/>
      <c r="Q47" s="18"/>
      <c r="R47" s="18"/>
    </row>
    <row r="48" spans="2:18" x14ac:dyDescent="0.3">
      <c r="B48" s="18"/>
      <c r="C48" s="20" t="s">
        <v>1</v>
      </c>
      <c r="D48" s="25" t="s">
        <v>52</v>
      </c>
      <c r="E48" s="141">
        <f>+IO_sub_model!E48+IO_sub_model!B189</f>
        <v>0.39717425431711156</v>
      </c>
      <c r="F48" s="36">
        <f t="shared" ref="F48:F55" si="11">1-E48</f>
        <v>0.60282574568288849</v>
      </c>
      <c r="G48" s="5">
        <v>7</v>
      </c>
      <c r="H48" s="7">
        <f t="shared" ref="H48:H55" si="12">+G48*F48</f>
        <v>4.219780219780219</v>
      </c>
      <c r="I48" s="18"/>
      <c r="J48" s="20" t="s">
        <v>1</v>
      </c>
      <c r="K48" s="25" t="s">
        <v>52</v>
      </c>
      <c r="L48" s="141">
        <f>+IO_sub_model!L48</f>
        <v>0</v>
      </c>
      <c r="M48" s="36">
        <f t="shared" ref="M48:M55" si="13">1-L48</f>
        <v>1</v>
      </c>
      <c r="N48" s="5">
        <v>55</v>
      </c>
      <c r="O48" s="7">
        <f t="shared" ref="O48:O55" si="14">+N48*M48</f>
        <v>55</v>
      </c>
      <c r="P48" s="18"/>
    </row>
    <row r="49" spans="1:16" x14ac:dyDescent="0.3">
      <c r="B49" s="18"/>
      <c r="C49" s="20" t="s">
        <v>1</v>
      </c>
      <c r="D49" s="25" t="s">
        <v>53</v>
      </c>
      <c r="E49" s="141">
        <f>+IO_sub_model!E49+IO_sub_model!B190</f>
        <v>0.16970172684458365</v>
      </c>
      <c r="F49" s="36">
        <f t="shared" si="11"/>
        <v>0.83029827315541638</v>
      </c>
      <c r="G49" s="5">
        <v>14</v>
      </c>
      <c r="H49" s="7">
        <f t="shared" si="12"/>
        <v>11.624175824175829</v>
      </c>
      <c r="I49" s="18"/>
      <c r="J49" s="20" t="s">
        <v>1</v>
      </c>
      <c r="K49" s="25" t="s">
        <v>53</v>
      </c>
      <c r="L49" s="141">
        <f>+IO_sub_model!L49</f>
        <v>0</v>
      </c>
      <c r="M49" s="36">
        <f t="shared" si="13"/>
        <v>1</v>
      </c>
      <c r="N49" s="5">
        <v>47</v>
      </c>
      <c r="O49" s="7">
        <f t="shared" si="14"/>
        <v>47</v>
      </c>
      <c r="P49" s="18"/>
    </row>
    <row r="50" spans="1:16" x14ac:dyDescent="0.3">
      <c r="B50" s="18"/>
      <c r="C50" s="20" t="s">
        <v>10</v>
      </c>
      <c r="D50" s="25" t="str">
        <f>+D47</f>
        <v>Agr</v>
      </c>
      <c r="E50" s="141">
        <f>+IO_sub_model!E50+IO_sub_model!B191</f>
        <v>0.41450549450549373</v>
      </c>
      <c r="F50" s="36">
        <f t="shared" si="11"/>
        <v>0.58549450549450621</v>
      </c>
      <c r="G50" s="5">
        <v>10</v>
      </c>
      <c r="H50" s="7">
        <f t="shared" si="12"/>
        <v>5.8549450549450626</v>
      </c>
      <c r="I50" s="18"/>
      <c r="J50" s="20" t="s">
        <v>10</v>
      </c>
      <c r="K50" s="25" t="str">
        <f>+K47</f>
        <v>Agr</v>
      </c>
      <c r="L50" s="141">
        <f>+IO_sub_model!L50</f>
        <v>0</v>
      </c>
      <c r="M50" s="36">
        <f t="shared" si="13"/>
        <v>1</v>
      </c>
      <c r="N50" s="5">
        <v>82</v>
      </c>
      <c r="O50" s="7">
        <f t="shared" si="14"/>
        <v>82</v>
      </c>
      <c r="P50" s="18"/>
    </row>
    <row r="51" spans="1:16" x14ac:dyDescent="0.3">
      <c r="B51" s="18"/>
      <c r="C51" s="20" t="s">
        <v>10</v>
      </c>
      <c r="D51" s="25" t="str">
        <f t="shared" ref="D51:D55" si="15">+D48</f>
        <v>Ind</v>
      </c>
      <c r="E51" s="141">
        <f>+IO_sub_model!E51+IO_sub_model!B192</f>
        <v>0.50549450549450792</v>
      </c>
      <c r="F51" s="36">
        <f t="shared" si="11"/>
        <v>0.49450549450549208</v>
      </c>
      <c r="G51" s="5">
        <v>5</v>
      </c>
      <c r="H51" s="7">
        <f t="shared" si="12"/>
        <v>2.4725274725274602</v>
      </c>
      <c r="I51" s="18"/>
      <c r="J51" s="20" t="s">
        <v>10</v>
      </c>
      <c r="K51" s="25" t="str">
        <f t="shared" ref="K51:K55" si="16">+K48</f>
        <v>Ind</v>
      </c>
      <c r="L51" s="141">
        <f>+IO_sub_model!L51</f>
        <v>0</v>
      </c>
      <c r="M51" s="36">
        <f t="shared" si="13"/>
        <v>1</v>
      </c>
      <c r="N51" s="5">
        <v>50</v>
      </c>
      <c r="O51" s="7">
        <f t="shared" si="14"/>
        <v>50</v>
      </c>
      <c r="P51" s="18"/>
    </row>
    <row r="52" spans="1:16" x14ac:dyDescent="0.3">
      <c r="B52" s="18"/>
      <c r="C52" s="20" t="s">
        <v>10</v>
      </c>
      <c r="D52" s="25" t="str">
        <f t="shared" si="15"/>
        <v>Serv</v>
      </c>
      <c r="E52" s="141">
        <f>+IO_sub_model!E52+IO_sub_model!B193</f>
        <v>0.13901098901098941</v>
      </c>
      <c r="F52" s="36">
        <f t="shared" si="11"/>
        <v>0.86098901098901059</v>
      </c>
      <c r="G52" s="5">
        <v>20</v>
      </c>
      <c r="H52" s="7">
        <f t="shared" si="12"/>
        <v>17.219780219780212</v>
      </c>
      <c r="I52" s="18"/>
      <c r="J52" s="20" t="s">
        <v>10</v>
      </c>
      <c r="K52" s="25" t="str">
        <f t="shared" si="16"/>
        <v>Serv</v>
      </c>
      <c r="L52" s="141">
        <f>+IO_sub_model!L52</f>
        <v>0</v>
      </c>
      <c r="M52" s="36">
        <f t="shared" si="13"/>
        <v>1</v>
      </c>
      <c r="N52" s="5">
        <v>55</v>
      </c>
      <c r="O52" s="7">
        <f t="shared" si="14"/>
        <v>55</v>
      </c>
      <c r="P52" s="18"/>
    </row>
    <row r="53" spans="1:16" x14ac:dyDescent="0.3">
      <c r="B53" s="18"/>
      <c r="C53" s="20" t="s">
        <v>11</v>
      </c>
      <c r="D53" s="25" t="str">
        <f t="shared" si="15"/>
        <v>Agr</v>
      </c>
      <c r="E53" s="141">
        <f>+IO_sub_model!E53+IO_sub_model!B194</f>
        <v>0.26622710622710694</v>
      </c>
      <c r="F53" s="36">
        <f t="shared" si="11"/>
        <v>0.73377289377289312</v>
      </c>
      <c r="G53" s="5">
        <v>15</v>
      </c>
      <c r="H53" s="7">
        <f t="shared" si="12"/>
        <v>11.006593406593396</v>
      </c>
      <c r="I53" s="18"/>
      <c r="J53" s="20" t="s">
        <v>11</v>
      </c>
      <c r="K53" s="25" t="str">
        <f t="shared" si="16"/>
        <v>Agr</v>
      </c>
      <c r="L53" s="141">
        <f>+IO_sub_model!L53</f>
        <v>0</v>
      </c>
      <c r="M53" s="36">
        <f t="shared" si="13"/>
        <v>1</v>
      </c>
      <c r="N53" s="5">
        <v>79</v>
      </c>
      <c r="O53" s="7">
        <f t="shared" si="14"/>
        <v>79</v>
      </c>
      <c r="P53" s="18"/>
    </row>
    <row r="54" spans="1:16" x14ac:dyDescent="0.3">
      <c r="B54" s="18"/>
      <c r="C54" s="20" t="s">
        <v>11</v>
      </c>
      <c r="D54" s="25" t="str">
        <f t="shared" si="15"/>
        <v>Ind</v>
      </c>
      <c r="E54" s="141">
        <f>+IO_sub_model!E54+IO_sub_model!B195</f>
        <v>0.11734693877551118</v>
      </c>
      <c r="F54" s="36">
        <f t="shared" si="11"/>
        <v>0.88265306122448883</v>
      </c>
      <c r="G54" s="5">
        <v>28</v>
      </c>
      <c r="H54" s="7">
        <f t="shared" si="12"/>
        <v>24.714285714285687</v>
      </c>
      <c r="I54" s="18"/>
      <c r="J54" s="20" t="s">
        <v>11</v>
      </c>
      <c r="K54" s="25" t="str">
        <f t="shared" si="16"/>
        <v>Ind</v>
      </c>
      <c r="L54" s="141">
        <f>+IO_sub_model!L54</f>
        <v>0</v>
      </c>
      <c r="M54" s="36">
        <f t="shared" si="13"/>
        <v>1</v>
      </c>
      <c r="N54" s="5">
        <v>65</v>
      </c>
      <c r="O54" s="7">
        <f t="shared" si="14"/>
        <v>65</v>
      </c>
      <c r="P54" s="18"/>
    </row>
    <row r="55" spans="1:16" x14ac:dyDescent="0.3">
      <c r="B55" s="18"/>
      <c r="C55" s="20" t="s">
        <v>11</v>
      </c>
      <c r="D55" s="25" t="str">
        <f t="shared" si="15"/>
        <v>Serv</v>
      </c>
      <c r="E55" s="142">
        <f>+IO_sub_model!E55+IO_sub_model!B196</f>
        <v>0.12637362637362562</v>
      </c>
      <c r="F55" s="37">
        <f t="shared" si="11"/>
        <v>0.87362637362637441</v>
      </c>
      <c r="G55" s="9">
        <v>24</v>
      </c>
      <c r="H55" s="11">
        <f t="shared" si="12"/>
        <v>20.967032967032985</v>
      </c>
      <c r="I55" s="18"/>
      <c r="J55" s="20" t="s">
        <v>11</v>
      </c>
      <c r="K55" s="25" t="str">
        <f t="shared" si="16"/>
        <v>Serv</v>
      </c>
      <c r="L55" s="142">
        <f>+IO_sub_model!L55</f>
        <v>0</v>
      </c>
      <c r="M55" s="37">
        <f t="shared" si="13"/>
        <v>1</v>
      </c>
      <c r="N55" s="9">
        <v>60</v>
      </c>
      <c r="O55" s="11">
        <f t="shared" si="14"/>
        <v>60</v>
      </c>
      <c r="P55" s="18"/>
    </row>
    <row r="56" spans="1:16" x14ac:dyDescent="0.3">
      <c r="G56" s="13">
        <f t="shared" ref="G56:H56" si="17">SUM(G47:G55)</f>
        <v>148</v>
      </c>
      <c r="H56" s="15">
        <f t="shared" si="17"/>
        <v>123.07912087912086</v>
      </c>
      <c r="I56" s="18"/>
      <c r="N56" s="13">
        <f t="shared" ref="N56:O56" si="18">SUM(N47:N55)</f>
        <v>564</v>
      </c>
      <c r="O56" s="15">
        <f t="shared" si="18"/>
        <v>549.79999999999995</v>
      </c>
    </row>
    <row r="57" spans="1:16" x14ac:dyDescent="0.3">
      <c r="H57" s="18">
        <f>+H56-G56</f>
        <v>-24.920879120879135</v>
      </c>
      <c r="I57" s="18"/>
      <c r="O57" s="18">
        <f>+O56-N56</f>
        <v>-14.200000000000045</v>
      </c>
    </row>
    <row r="58" spans="1:16" x14ac:dyDescent="0.3">
      <c r="A58" s="66"/>
    </row>
    <row r="59" spans="1:16" x14ac:dyDescent="0.3">
      <c r="A59" s="68" t="s">
        <v>30</v>
      </c>
      <c r="E59" s="20" t="s">
        <v>20</v>
      </c>
      <c r="F59" s="20" t="str" cm="1">
        <f t="array" ref="F59:F68">+O46:O55</f>
        <v>x_max</v>
      </c>
      <c r="G59" s="20" t="s">
        <v>3</v>
      </c>
    </row>
    <row r="60" spans="1:16" x14ac:dyDescent="0.3">
      <c r="A60" s="67"/>
      <c r="C60" s="20" t="s">
        <v>1</v>
      </c>
      <c r="D60" s="28" t="s">
        <v>51</v>
      </c>
      <c r="E60" s="4" cm="1">
        <f t="array" ref="E60:E68">+MMULT(_xlfn.ANCHORARRAY(E36),H47:H55)</f>
        <v>63.971284486857982</v>
      </c>
      <c r="F60" s="4">
        <v>56.800000000000004</v>
      </c>
      <c r="G60" s="40">
        <f>+MIN(F60/E60,1)</f>
        <v>0.88789838215095995</v>
      </c>
      <c r="H60" s="18"/>
      <c r="I60" s="18"/>
    </row>
    <row r="61" spans="1:16" x14ac:dyDescent="0.3">
      <c r="C61" s="20" t="s">
        <v>1</v>
      </c>
      <c r="D61" s="25" t="s">
        <v>52</v>
      </c>
      <c r="E61" s="8">
        <v>44.744990838295195</v>
      </c>
      <c r="F61" s="8">
        <v>55</v>
      </c>
      <c r="G61" s="41">
        <f t="shared" ref="G61:G68" si="19">+MIN(F61/E61,1)</f>
        <v>1</v>
      </c>
      <c r="H61" s="18"/>
      <c r="I61" s="18"/>
    </row>
    <row r="62" spans="1:16" x14ac:dyDescent="0.3">
      <c r="C62" s="20" t="s">
        <v>1</v>
      </c>
      <c r="D62" s="25" t="s">
        <v>53</v>
      </c>
      <c r="E62" s="8">
        <v>38.846565994744125</v>
      </c>
      <c r="F62" s="8">
        <v>47</v>
      </c>
      <c r="G62" s="41">
        <f t="shared" si="19"/>
        <v>1</v>
      </c>
      <c r="H62" s="18"/>
      <c r="I62" s="18"/>
    </row>
    <row r="63" spans="1:16" x14ac:dyDescent="0.3">
      <c r="C63" s="20" t="s">
        <v>10</v>
      </c>
      <c r="D63" s="25" t="str">
        <f>+D60</f>
        <v>Agr</v>
      </c>
      <c r="E63" s="8">
        <v>65.92743899526792</v>
      </c>
      <c r="F63" s="8">
        <v>82</v>
      </c>
      <c r="G63" s="41">
        <f t="shared" si="19"/>
        <v>1</v>
      </c>
      <c r="H63" s="18"/>
      <c r="I63" s="18"/>
    </row>
    <row r="64" spans="1:16" x14ac:dyDescent="0.3">
      <c r="C64" s="20" t="s">
        <v>10</v>
      </c>
      <c r="D64" s="25" t="str">
        <f t="shared" ref="D64:D68" si="20">+D61</f>
        <v>Ind</v>
      </c>
      <c r="E64" s="8">
        <v>39.760836698068402</v>
      </c>
      <c r="F64" s="8">
        <v>50</v>
      </c>
      <c r="G64" s="41">
        <f t="shared" si="19"/>
        <v>1</v>
      </c>
      <c r="H64" s="18"/>
      <c r="I64" s="18"/>
    </row>
    <row r="65" spans="1:22" x14ac:dyDescent="0.3">
      <c r="C65" s="20" t="s">
        <v>10</v>
      </c>
      <c r="D65" s="25" t="str">
        <f t="shared" si="20"/>
        <v>Serv</v>
      </c>
      <c r="E65" s="8">
        <v>46.403211885462333</v>
      </c>
      <c r="F65" s="8">
        <v>55</v>
      </c>
      <c r="G65" s="41">
        <f t="shared" si="19"/>
        <v>1</v>
      </c>
      <c r="H65" s="18"/>
      <c r="I65" s="18"/>
    </row>
    <row r="66" spans="1:22" x14ac:dyDescent="0.3">
      <c r="C66" s="20" t="s">
        <v>11</v>
      </c>
      <c r="D66" s="25" t="str">
        <f t="shared" si="20"/>
        <v>Agr</v>
      </c>
      <c r="E66" s="8">
        <v>63.78337844188755</v>
      </c>
      <c r="F66" s="8">
        <v>79</v>
      </c>
      <c r="G66" s="41">
        <f t="shared" si="19"/>
        <v>1</v>
      </c>
      <c r="H66" s="18"/>
      <c r="I66" s="18"/>
    </row>
    <row r="67" spans="1:22" x14ac:dyDescent="0.3">
      <c r="C67" s="20" t="s">
        <v>11</v>
      </c>
      <c r="D67" s="25" t="str">
        <f t="shared" si="20"/>
        <v>Ind</v>
      </c>
      <c r="E67" s="8">
        <v>55.161066559253825</v>
      </c>
      <c r="F67" s="8">
        <v>65</v>
      </c>
      <c r="G67" s="41">
        <f t="shared" si="19"/>
        <v>1</v>
      </c>
      <c r="H67" s="18"/>
      <c r="I67" s="18"/>
    </row>
    <row r="68" spans="1:22" x14ac:dyDescent="0.3">
      <c r="C68" s="20" t="s">
        <v>11</v>
      </c>
      <c r="D68" s="25" t="str">
        <f t="shared" si="20"/>
        <v>Serv</v>
      </c>
      <c r="E68" s="12">
        <v>51.364912676610018</v>
      </c>
      <c r="F68" s="12">
        <v>60</v>
      </c>
      <c r="G68" s="42">
        <f t="shared" si="19"/>
        <v>1</v>
      </c>
      <c r="H68" s="18"/>
      <c r="I68" s="18"/>
    </row>
    <row r="69" spans="1:22" x14ac:dyDescent="0.3">
      <c r="A69" s="66"/>
    </row>
    <row r="70" spans="1:22" x14ac:dyDescent="0.3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22" x14ac:dyDescent="0.3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22" x14ac:dyDescent="0.3">
      <c r="C72" t="s">
        <v>25</v>
      </c>
      <c r="D72" s="20" t="s">
        <v>4</v>
      </c>
      <c r="E72" s="43" cm="1">
        <f t="array" ref="E72">+MIN(_xlfn._xlws.FILTER($G$60:$G$68,E21:E29&gt;0))</f>
        <v>0.88789838215095995</v>
      </c>
      <c r="F72" s="44" cm="1">
        <f t="array" ref="F72">+MIN(_xlfn._xlws.FILTER($G$60:$G$68,F21:F29&gt;0))</f>
        <v>0.88789838215095995</v>
      </c>
      <c r="G72" s="44" cm="1">
        <f t="array" ref="G72">+MIN(_xlfn._xlws.FILTER($G$60:$G$68,G21:G29&gt;0))</f>
        <v>0.88789838215095995</v>
      </c>
      <c r="H72" s="44" cm="1">
        <f t="array" ref="H72">+MIN(_xlfn._xlws.FILTER($G$60:$G$68,H21:H29&gt;0))</f>
        <v>0.88789838215095995</v>
      </c>
      <c r="I72" s="44" cm="1">
        <f t="array" ref="I72">+MIN(_xlfn._xlws.FILTER($G$60:$G$68,I21:I29&gt;0))</f>
        <v>1</v>
      </c>
      <c r="J72" s="44" cm="1">
        <f t="array" ref="J72">+MIN(_xlfn._xlws.FILTER($G$60:$G$68,J21:J29&gt;0))</f>
        <v>0.88789838215095995</v>
      </c>
      <c r="K72" s="44" cm="1">
        <f t="array" ref="K72">+MIN(_xlfn._xlws.FILTER($G$60:$G$68,K21:K29&gt;0))</f>
        <v>0.88789838215095995</v>
      </c>
      <c r="L72" s="44" cm="1">
        <f t="array" ref="L72">+MIN(_xlfn._xlws.FILTER($G$60:$G$68,L21:L29&gt;0))</f>
        <v>0.88789838215095995</v>
      </c>
      <c r="M72" s="45" cm="1">
        <f t="array" ref="M72">+MIN(_xlfn._xlws.FILTER($G$60:$G$68,M21:M29&gt;0))</f>
        <v>0.88789838215095995</v>
      </c>
    </row>
    <row r="73" spans="1:22" ht="15" thickBot="1" x14ac:dyDescent="0.35">
      <c r="C73" t="s">
        <v>26</v>
      </c>
      <c r="D73" s="49" t="s">
        <v>18</v>
      </c>
      <c r="E73" s="50" cm="1">
        <f t="array" ref="E73:M73">+TRANSPOSE(M47:M55)</f>
        <v>0.8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22" x14ac:dyDescent="0.3">
      <c r="D74" s="22" t="s">
        <v>22</v>
      </c>
      <c r="E74" s="46">
        <f>+MIN(E72:E73)</f>
        <v>0.8</v>
      </c>
      <c r="F74" s="47">
        <f t="shared" ref="F74:M74" si="21">+MIN(F72:F73)</f>
        <v>0.88789838215095995</v>
      </c>
      <c r="G74" s="47">
        <f t="shared" si="21"/>
        <v>0.88789838215095995</v>
      </c>
      <c r="H74" s="47">
        <f t="shared" si="21"/>
        <v>0.88789838215095995</v>
      </c>
      <c r="I74" s="47">
        <f t="shared" si="21"/>
        <v>1</v>
      </c>
      <c r="J74" s="47">
        <f t="shared" si="21"/>
        <v>0.88789838215095995</v>
      </c>
      <c r="K74" s="47">
        <f t="shared" si="21"/>
        <v>0.88789838215095995</v>
      </c>
      <c r="L74" s="47">
        <f t="shared" si="21"/>
        <v>0.88789838215095995</v>
      </c>
      <c r="M74" s="48">
        <f t="shared" si="21"/>
        <v>0.88789838215095995</v>
      </c>
    </row>
    <row r="75" spans="1:22" x14ac:dyDescent="0.3">
      <c r="A75" s="66"/>
    </row>
    <row r="76" spans="1:22" ht="15" thickBot="1" x14ac:dyDescent="0.35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22" ht="15" thickBot="1" x14ac:dyDescent="0.35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22" x14ac:dyDescent="0.3">
      <c r="B78" s="63" cm="1">
        <f t="array" ref="B78:B86">+TRANSPOSE(E74:M74)</f>
        <v>0.8</v>
      </c>
      <c r="C78" s="20" t="s">
        <v>1</v>
      </c>
      <c r="D78" s="28" t="s">
        <v>51</v>
      </c>
      <c r="E78" s="1">
        <f>+E5*$B78</f>
        <v>8</v>
      </c>
      <c r="F78" s="2">
        <f t="shared" ref="F78:M78" si="22">+F5*$B78</f>
        <v>4</v>
      </c>
      <c r="G78" s="2">
        <f t="shared" si="22"/>
        <v>8</v>
      </c>
      <c r="H78" s="2">
        <f t="shared" si="22"/>
        <v>0.8</v>
      </c>
      <c r="I78" s="2">
        <f t="shared" si="22"/>
        <v>0</v>
      </c>
      <c r="J78" s="2">
        <f t="shared" si="22"/>
        <v>6.4</v>
      </c>
      <c r="K78" s="2">
        <f t="shared" si="22"/>
        <v>2.4000000000000004</v>
      </c>
      <c r="L78" s="2">
        <f t="shared" si="22"/>
        <v>5.6000000000000005</v>
      </c>
      <c r="M78" s="3">
        <f t="shared" si="22"/>
        <v>1.6</v>
      </c>
      <c r="N78" s="18"/>
      <c r="O78" s="18"/>
      <c r="P78" s="18"/>
      <c r="Q78" s="18"/>
      <c r="R78" s="18"/>
      <c r="S78" s="18"/>
      <c r="T78" s="18"/>
      <c r="U78" s="18"/>
      <c r="V78" s="18"/>
    </row>
    <row r="79" spans="1:22" x14ac:dyDescent="0.3">
      <c r="B79" s="30">
        <v>0.88789838215095995</v>
      </c>
      <c r="C79" s="20" t="s">
        <v>1</v>
      </c>
      <c r="D79" s="25" t="s">
        <v>52</v>
      </c>
      <c r="E79" s="5">
        <f t="shared" ref="E79:M86" si="23">+E6*$B79</f>
        <v>7.1031870572076796</v>
      </c>
      <c r="F79" s="6">
        <f t="shared" si="23"/>
        <v>2.6636951464528797</v>
      </c>
      <c r="G79" s="6">
        <f t="shared" si="23"/>
        <v>7.9910854393586392</v>
      </c>
      <c r="H79" s="6">
        <f t="shared" si="23"/>
        <v>3.5515935286038398</v>
      </c>
      <c r="I79" s="6">
        <f t="shared" si="23"/>
        <v>1.7757967643019199</v>
      </c>
      <c r="J79" s="6">
        <f t="shared" si="23"/>
        <v>8.8789838215095997</v>
      </c>
      <c r="K79" s="6">
        <f t="shared" si="23"/>
        <v>0.88789838215095995</v>
      </c>
      <c r="L79" s="6">
        <f t="shared" si="23"/>
        <v>3.5515935286038398</v>
      </c>
      <c r="M79" s="7">
        <f t="shared" si="23"/>
        <v>6.21528867505672</v>
      </c>
      <c r="N79" s="18"/>
      <c r="O79" s="18"/>
      <c r="P79" s="18"/>
      <c r="Q79" s="18"/>
      <c r="R79" s="18"/>
      <c r="S79" s="18"/>
      <c r="T79" s="18"/>
      <c r="U79" s="18"/>
      <c r="V79" s="18"/>
    </row>
    <row r="80" spans="1:22" x14ac:dyDescent="0.3">
      <c r="B80" s="30">
        <v>0.88789838215095995</v>
      </c>
      <c r="C80" s="20" t="s">
        <v>1</v>
      </c>
      <c r="D80" s="25" t="s">
        <v>53</v>
      </c>
      <c r="E80" s="5">
        <f t="shared" si="23"/>
        <v>0</v>
      </c>
      <c r="F80" s="6">
        <f t="shared" si="23"/>
        <v>0</v>
      </c>
      <c r="G80" s="6">
        <f t="shared" si="23"/>
        <v>0</v>
      </c>
      <c r="H80" s="6">
        <f t="shared" si="23"/>
        <v>6.21528867505672</v>
      </c>
      <c r="I80" s="6">
        <f t="shared" si="23"/>
        <v>3.5515935286038398</v>
      </c>
      <c r="J80" s="6">
        <f t="shared" si="23"/>
        <v>3.5515935286038398</v>
      </c>
      <c r="K80" s="6">
        <f t="shared" si="23"/>
        <v>6.21528867505672</v>
      </c>
      <c r="L80" s="6">
        <f t="shared" si="23"/>
        <v>3.5515935286038398</v>
      </c>
      <c r="M80" s="7">
        <f t="shared" si="23"/>
        <v>6.21528867505672</v>
      </c>
      <c r="N80" s="18"/>
      <c r="O80" s="18"/>
      <c r="P80" s="18"/>
      <c r="Q80" s="18"/>
      <c r="R80" s="18"/>
      <c r="S80" s="18"/>
      <c r="T80" s="18"/>
      <c r="U80" s="18"/>
      <c r="V80" s="18"/>
    </row>
    <row r="81" spans="1:22" x14ac:dyDescent="0.3">
      <c r="B81" s="30">
        <v>0.88789838215095995</v>
      </c>
      <c r="C81" s="20" t="s">
        <v>10</v>
      </c>
      <c r="D81" s="25" t="str">
        <f>+D78</f>
        <v>Agr</v>
      </c>
      <c r="E81" s="5">
        <f t="shared" si="23"/>
        <v>7.9910854393586392</v>
      </c>
      <c r="F81" s="6">
        <f t="shared" si="23"/>
        <v>4.4394919107547999</v>
      </c>
      <c r="G81" s="6">
        <f t="shared" si="23"/>
        <v>3.5515935286038398</v>
      </c>
      <c r="H81" s="6">
        <f t="shared" si="23"/>
        <v>6.21528867505672</v>
      </c>
      <c r="I81" s="6">
        <f t="shared" si="23"/>
        <v>8.8789838215095997</v>
      </c>
      <c r="J81" s="6">
        <f t="shared" si="23"/>
        <v>7.9910854393586392</v>
      </c>
      <c r="K81" s="6">
        <f t="shared" si="23"/>
        <v>8.8789838215095997</v>
      </c>
      <c r="L81" s="6">
        <f t="shared" si="23"/>
        <v>7.9910854393586392</v>
      </c>
      <c r="M81" s="7">
        <f t="shared" si="23"/>
        <v>7.9910854393586392</v>
      </c>
      <c r="N81" s="18"/>
      <c r="O81" s="18"/>
      <c r="P81" s="18"/>
      <c r="Q81" s="18"/>
      <c r="R81" s="18"/>
      <c r="S81" s="18"/>
      <c r="T81" s="18"/>
      <c r="U81" s="18"/>
      <c r="V81" s="18"/>
    </row>
    <row r="82" spans="1:22" x14ac:dyDescent="0.3">
      <c r="B82" s="30">
        <v>1</v>
      </c>
      <c r="C82" s="20" t="s">
        <v>10</v>
      </c>
      <c r="D82" s="25" t="str">
        <f t="shared" ref="D82:D86" si="24">+D79</f>
        <v>Ind</v>
      </c>
      <c r="E82" s="5">
        <f t="shared" si="23"/>
        <v>4</v>
      </c>
      <c r="F82" s="6">
        <f t="shared" si="23"/>
        <v>2</v>
      </c>
      <c r="G82" s="6">
        <f t="shared" si="23"/>
        <v>3</v>
      </c>
      <c r="H82" s="6">
        <f t="shared" si="23"/>
        <v>6</v>
      </c>
      <c r="I82" s="6">
        <f t="shared" si="23"/>
        <v>7</v>
      </c>
      <c r="J82" s="6">
        <f t="shared" si="23"/>
        <v>4</v>
      </c>
      <c r="K82" s="6">
        <f t="shared" si="23"/>
        <v>9</v>
      </c>
      <c r="L82" s="6">
        <f t="shared" si="23"/>
        <v>2</v>
      </c>
      <c r="M82" s="7">
        <f t="shared" si="23"/>
        <v>8</v>
      </c>
      <c r="N82" s="18"/>
      <c r="O82" s="18"/>
      <c r="P82" s="18"/>
      <c r="Q82" s="18"/>
      <c r="R82" s="18"/>
      <c r="S82" s="18"/>
      <c r="T82" s="18"/>
      <c r="U82" s="18"/>
      <c r="V82" s="18"/>
    </row>
    <row r="83" spans="1:22" x14ac:dyDescent="0.3">
      <c r="B83" s="30">
        <v>0.88789838215095995</v>
      </c>
      <c r="C83" s="20" t="s">
        <v>10</v>
      </c>
      <c r="D83" s="25" t="str">
        <f t="shared" si="24"/>
        <v>Serv</v>
      </c>
      <c r="E83" s="5">
        <f t="shared" si="23"/>
        <v>5.3273902929057595</v>
      </c>
      <c r="F83" s="6">
        <f t="shared" si="23"/>
        <v>4.4394919107547999</v>
      </c>
      <c r="G83" s="6">
        <f t="shared" si="23"/>
        <v>3.5515935286038398</v>
      </c>
      <c r="H83" s="6">
        <f t="shared" si="23"/>
        <v>0.88789838215095995</v>
      </c>
      <c r="I83" s="6">
        <f t="shared" si="23"/>
        <v>7.9910854393586392</v>
      </c>
      <c r="J83" s="6">
        <f t="shared" si="23"/>
        <v>1.7757967643019199</v>
      </c>
      <c r="K83" s="6">
        <f t="shared" si="23"/>
        <v>0.88789838215095995</v>
      </c>
      <c r="L83" s="6">
        <f t="shared" si="23"/>
        <v>5.3273902929057595</v>
      </c>
      <c r="M83" s="7">
        <f t="shared" si="23"/>
        <v>0.88789838215095995</v>
      </c>
      <c r="N83" s="18"/>
      <c r="O83" s="18"/>
      <c r="P83" s="18"/>
      <c r="Q83" s="18"/>
      <c r="R83" s="18"/>
      <c r="S83" s="18"/>
      <c r="T83" s="18"/>
      <c r="U83" s="18"/>
      <c r="V83" s="18"/>
    </row>
    <row r="84" spans="1:22" x14ac:dyDescent="0.3">
      <c r="B84" s="30">
        <v>0.88789838215095995</v>
      </c>
      <c r="C84" s="20" t="s">
        <v>11</v>
      </c>
      <c r="D84" s="25" t="str">
        <f t="shared" si="24"/>
        <v>Agr</v>
      </c>
      <c r="E84" s="5">
        <f t="shared" si="23"/>
        <v>2.6636951464528797</v>
      </c>
      <c r="F84" s="6">
        <f t="shared" si="23"/>
        <v>8.8789838215095997</v>
      </c>
      <c r="G84" s="6">
        <f t="shared" si="23"/>
        <v>7.1031870572076796</v>
      </c>
      <c r="H84" s="6">
        <f t="shared" si="23"/>
        <v>7.9910854393586392</v>
      </c>
      <c r="I84" s="6">
        <f t="shared" si="23"/>
        <v>8.8789838215095997</v>
      </c>
      <c r="J84" s="6">
        <f t="shared" si="23"/>
        <v>0</v>
      </c>
      <c r="K84" s="6">
        <f t="shared" si="23"/>
        <v>6.21528867505672</v>
      </c>
      <c r="L84" s="6">
        <f t="shared" si="23"/>
        <v>7.9910854393586392</v>
      </c>
      <c r="M84" s="7">
        <f t="shared" si="23"/>
        <v>7.1031870572076796</v>
      </c>
      <c r="N84" s="18"/>
      <c r="O84" s="18"/>
      <c r="P84" s="18"/>
      <c r="Q84" s="18"/>
      <c r="R84" s="18"/>
      <c r="S84" s="18"/>
      <c r="T84" s="18"/>
      <c r="U84" s="18"/>
      <c r="V84" s="18"/>
    </row>
    <row r="85" spans="1:22" x14ac:dyDescent="0.3">
      <c r="B85" s="30">
        <v>0.88789838215095995</v>
      </c>
      <c r="C85" s="20" t="s">
        <v>11</v>
      </c>
      <c r="D85" s="25" t="str">
        <f t="shared" si="24"/>
        <v>Ind</v>
      </c>
      <c r="E85" s="5">
        <f t="shared" si="23"/>
        <v>0.88789838215095995</v>
      </c>
      <c r="F85" s="6">
        <f t="shared" si="23"/>
        <v>7.1031870572076796</v>
      </c>
      <c r="G85" s="6">
        <f t="shared" si="23"/>
        <v>0</v>
      </c>
      <c r="H85" s="6">
        <f t="shared" si="23"/>
        <v>7.9910854393586392</v>
      </c>
      <c r="I85" s="6">
        <f t="shared" si="23"/>
        <v>0</v>
      </c>
      <c r="J85" s="6">
        <f t="shared" si="23"/>
        <v>0</v>
      </c>
      <c r="K85" s="6">
        <f t="shared" si="23"/>
        <v>7.1031870572076796</v>
      </c>
      <c r="L85" s="6">
        <f t="shared" si="23"/>
        <v>8.8789838215095997</v>
      </c>
      <c r="M85" s="7">
        <f t="shared" si="23"/>
        <v>0.88789838215095995</v>
      </c>
      <c r="N85" s="18"/>
      <c r="O85" s="18"/>
      <c r="P85" s="18"/>
      <c r="Q85" s="18"/>
      <c r="R85" s="18"/>
      <c r="S85" s="18"/>
      <c r="T85" s="18"/>
      <c r="U85" s="18"/>
      <c r="V85" s="18"/>
    </row>
    <row r="86" spans="1:22" x14ac:dyDescent="0.3">
      <c r="B86" s="31">
        <v>0.88789838215095995</v>
      </c>
      <c r="C86" s="20" t="s">
        <v>11</v>
      </c>
      <c r="D86" s="25" t="str">
        <f t="shared" si="24"/>
        <v>Serv</v>
      </c>
      <c r="E86" s="9">
        <f t="shared" si="23"/>
        <v>8.8789838215095997</v>
      </c>
      <c r="F86" s="10">
        <f t="shared" si="23"/>
        <v>1.7757967643019199</v>
      </c>
      <c r="G86" s="10">
        <f t="shared" si="23"/>
        <v>3.5515935286038398</v>
      </c>
      <c r="H86" s="10">
        <f t="shared" si="23"/>
        <v>8.8789838215095997</v>
      </c>
      <c r="I86" s="10">
        <f t="shared" si="23"/>
        <v>0</v>
      </c>
      <c r="J86" s="10">
        <f t="shared" si="23"/>
        <v>0</v>
      </c>
      <c r="K86" s="10">
        <f t="shared" si="23"/>
        <v>2.6636951464528797</v>
      </c>
      <c r="L86" s="10">
        <f t="shared" si="23"/>
        <v>0</v>
      </c>
      <c r="M86" s="11">
        <f t="shared" si="23"/>
        <v>6.21528867505672</v>
      </c>
      <c r="N86" s="18"/>
      <c r="O86" s="18"/>
      <c r="P86" s="18"/>
      <c r="Q86" s="18"/>
      <c r="R86" s="18"/>
      <c r="S86" s="18"/>
      <c r="T86" s="18"/>
      <c r="U86" s="18"/>
      <c r="V86" s="18"/>
    </row>
    <row r="87" spans="1:22" x14ac:dyDescent="0.3">
      <c r="N87" s="19">
        <f>+SUM(E78:M86)</f>
        <v>370.36697419906216</v>
      </c>
    </row>
    <row r="88" spans="1:22" x14ac:dyDescent="0.3">
      <c r="D88" s="20" t="str" cm="1">
        <f t="array" ref="D88:M89">+TRANSPOSE(E59:F68)</f>
        <v>x_md</v>
      </c>
      <c r="E88" s="43">
        <v>63.971284486857982</v>
      </c>
      <c r="F88" s="44">
        <v>44.744990838295195</v>
      </c>
      <c r="G88" s="44">
        <v>38.846565994744125</v>
      </c>
      <c r="H88" s="44">
        <v>65.92743899526792</v>
      </c>
      <c r="I88" s="44">
        <v>39.760836698068402</v>
      </c>
      <c r="J88" s="44">
        <v>46.403211885462333</v>
      </c>
      <c r="K88" s="44">
        <v>63.78337844188755</v>
      </c>
      <c r="L88" s="44">
        <v>55.161066559253825</v>
      </c>
      <c r="M88" s="45">
        <v>51.364912676610018</v>
      </c>
    </row>
    <row r="89" spans="1:22" ht="15" thickBot="1" x14ac:dyDescent="0.35">
      <c r="D89" s="49" t="str">
        <v>x_max</v>
      </c>
      <c r="E89" s="50">
        <v>56.800000000000004</v>
      </c>
      <c r="F89" s="51">
        <v>55</v>
      </c>
      <c r="G89" s="51">
        <v>47</v>
      </c>
      <c r="H89" s="51">
        <v>82</v>
      </c>
      <c r="I89" s="51">
        <v>50</v>
      </c>
      <c r="J89" s="51">
        <v>55</v>
      </c>
      <c r="K89" s="51">
        <v>79</v>
      </c>
      <c r="L89" s="51">
        <v>65</v>
      </c>
      <c r="M89" s="52">
        <v>60</v>
      </c>
    </row>
    <row r="90" spans="1:22" x14ac:dyDescent="0.3">
      <c r="D90" s="22" t="s">
        <v>60</v>
      </c>
      <c r="E90" s="46">
        <f>+MIN(E88:E89)</f>
        <v>56.800000000000004</v>
      </c>
      <c r="F90" s="47">
        <f t="shared" ref="F90:M90" si="25">+MIN(F88:F89)</f>
        <v>44.744990838295195</v>
      </c>
      <c r="G90" s="47">
        <f t="shared" si="25"/>
        <v>38.846565994744125</v>
      </c>
      <c r="H90" s="47">
        <f t="shared" si="25"/>
        <v>65.92743899526792</v>
      </c>
      <c r="I90" s="47">
        <f t="shared" si="25"/>
        <v>39.760836698068402</v>
      </c>
      <c r="J90" s="47">
        <f t="shared" si="25"/>
        <v>46.403211885462333</v>
      </c>
      <c r="K90" s="47">
        <f t="shared" si="25"/>
        <v>63.78337844188755</v>
      </c>
      <c r="L90" s="47">
        <f t="shared" si="25"/>
        <v>55.161066559253825</v>
      </c>
      <c r="M90" s="48">
        <f t="shared" si="25"/>
        <v>51.364912676610018</v>
      </c>
      <c r="N90" s="19">
        <f>+SUM(E90:M90)</f>
        <v>462.79240208958936</v>
      </c>
    </row>
    <row r="91" spans="1:22" x14ac:dyDescent="0.3">
      <c r="A91" s="66"/>
    </row>
    <row r="92" spans="1:22" ht="15" thickBot="1" x14ac:dyDescent="0.35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22" ht="72.599999999999994" thickBot="1" x14ac:dyDescent="0.35">
      <c r="A93" s="67"/>
      <c r="C93" s="98" t="s">
        <v>54</v>
      </c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22" x14ac:dyDescent="0.3">
      <c r="C94" s="20" t="s">
        <v>1</v>
      </c>
      <c r="D94" s="28" t="s">
        <v>51</v>
      </c>
      <c r="E94" s="1">
        <f>+E21*E$88</f>
        <v>9.0100400685715467</v>
      </c>
      <c r="F94" s="2">
        <f t="shared" ref="F94:M94" si="26">+F21*F$88</f>
        <v>4.0677264398450177</v>
      </c>
      <c r="G94" s="2">
        <f t="shared" si="26"/>
        <v>8.2652268073923665</v>
      </c>
      <c r="H94" s="2">
        <f t="shared" si="26"/>
        <v>0.80399315847887709</v>
      </c>
      <c r="I94" s="2">
        <f t="shared" si="26"/>
        <v>0</v>
      </c>
      <c r="J94" s="2">
        <f t="shared" si="26"/>
        <v>6.7495580924308847</v>
      </c>
      <c r="K94" s="2">
        <f t="shared" si="26"/>
        <v>2.4221536117172486</v>
      </c>
      <c r="L94" s="2">
        <f t="shared" si="26"/>
        <v>5.9404225525350274</v>
      </c>
      <c r="M94" s="3">
        <f t="shared" si="26"/>
        <v>1.7121637558870006</v>
      </c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3">
      <c r="C95" s="20" t="s">
        <v>1</v>
      </c>
      <c r="D95" s="25" t="s">
        <v>52</v>
      </c>
      <c r="E95" s="5">
        <f t="shared" ref="E95:M102" si="27">+E22*E$88</f>
        <v>7.2080320548572372</v>
      </c>
      <c r="F95" s="6">
        <f t="shared" si="27"/>
        <v>2.4406358639070107</v>
      </c>
      <c r="G95" s="6">
        <f t="shared" si="27"/>
        <v>7.4387041266531302</v>
      </c>
      <c r="H95" s="6">
        <f t="shared" si="27"/>
        <v>3.2159726339155084</v>
      </c>
      <c r="I95" s="6">
        <f t="shared" si="27"/>
        <v>1.5904334679227361</v>
      </c>
      <c r="J95" s="6">
        <f t="shared" si="27"/>
        <v>8.4369476155386067</v>
      </c>
      <c r="K95" s="6">
        <f t="shared" si="27"/>
        <v>0.80738453723908288</v>
      </c>
      <c r="L95" s="6">
        <f t="shared" si="27"/>
        <v>3.3945271728771589</v>
      </c>
      <c r="M95" s="7">
        <f t="shared" si="27"/>
        <v>5.9925731456045019</v>
      </c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3">
      <c r="C96" s="20" t="s">
        <v>1</v>
      </c>
      <c r="D96" s="25" t="s">
        <v>53</v>
      </c>
      <c r="E96" s="5">
        <f t="shared" si="27"/>
        <v>0</v>
      </c>
      <c r="F96" s="6">
        <f t="shared" si="27"/>
        <v>0</v>
      </c>
      <c r="G96" s="6">
        <f t="shared" si="27"/>
        <v>0</v>
      </c>
      <c r="H96" s="6">
        <f t="shared" si="27"/>
        <v>5.6279521093521403</v>
      </c>
      <c r="I96" s="6">
        <f t="shared" si="27"/>
        <v>3.1808669358454722</v>
      </c>
      <c r="J96" s="6">
        <f t="shared" si="27"/>
        <v>3.3747790462154423</v>
      </c>
      <c r="K96" s="6">
        <f t="shared" si="27"/>
        <v>5.6516917606735806</v>
      </c>
      <c r="L96" s="6">
        <f t="shared" si="27"/>
        <v>3.3945271728771589</v>
      </c>
      <c r="M96" s="7">
        <f t="shared" si="27"/>
        <v>5.9925731456045019</v>
      </c>
      <c r="N96" s="19"/>
      <c r="O96" s="19"/>
      <c r="P96" s="19"/>
      <c r="Q96" s="19"/>
      <c r="R96" s="19"/>
      <c r="S96" s="19"/>
      <c r="T96" s="19"/>
      <c r="U96" s="19"/>
      <c r="V96" s="19"/>
    </row>
    <row r="97" spans="3:36" x14ac:dyDescent="0.3">
      <c r="C97" s="20" t="s">
        <v>10</v>
      </c>
      <c r="D97" s="25" t="str">
        <f>+D94</f>
        <v>Agr</v>
      </c>
      <c r="E97" s="5">
        <f t="shared" si="27"/>
        <v>8.1090360617143915</v>
      </c>
      <c r="F97" s="6">
        <f t="shared" si="27"/>
        <v>4.0677264398450177</v>
      </c>
      <c r="G97" s="6">
        <f t="shared" si="27"/>
        <v>3.3060907229569469</v>
      </c>
      <c r="H97" s="6">
        <f t="shared" si="27"/>
        <v>5.6279521093521403</v>
      </c>
      <c r="I97" s="6">
        <f t="shared" si="27"/>
        <v>7.9521673396136805</v>
      </c>
      <c r="J97" s="6">
        <f t="shared" si="27"/>
        <v>7.5932528539847457</v>
      </c>
      <c r="K97" s="6">
        <f t="shared" si="27"/>
        <v>8.0738453723908297</v>
      </c>
      <c r="L97" s="6">
        <f t="shared" si="27"/>
        <v>7.6376861389736073</v>
      </c>
      <c r="M97" s="7">
        <f t="shared" si="27"/>
        <v>7.7047369014915024</v>
      </c>
      <c r="N97" s="19"/>
      <c r="O97" s="19"/>
      <c r="P97" s="19"/>
      <c r="Q97" s="19"/>
      <c r="R97" s="19"/>
      <c r="S97" s="19"/>
      <c r="T97" s="19"/>
      <c r="U97" s="19"/>
      <c r="V97" s="19"/>
    </row>
    <row r="98" spans="3:36" x14ac:dyDescent="0.3">
      <c r="C98" s="20" t="s">
        <v>10</v>
      </c>
      <c r="D98" s="25" t="str">
        <f t="shared" ref="D98:D102" si="28">+D95</f>
        <v>Ind</v>
      </c>
      <c r="E98" s="5">
        <f t="shared" si="27"/>
        <v>3.6040160274286186</v>
      </c>
      <c r="F98" s="6">
        <f t="shared" si="27"/>
        <v>1.627090575938007</v>
      </c>
      <c r="G98" s="6">
        <f t="shared" si="27"/>
        <v>2.4795680422177098</v>
      </c>
      <c r="H98" s="6">
        <f t="shared" si="27"/>
        <v>4.8239589508732621</v>
      </c>
      <c r="I98" s="6">
        <f t="shared" si="27"/>
        <v>5.5665171377295772</v>
      </c>
      <c r="J98" s="6">
        <f t="shared" si="27"/>
        <v>3.3747790462154423</v>
      </c>
      <c r="K98" s="6">
        <f t="shared" si="27"/>
        <v>7.2664608351517463</v>
      </c>
      <c r="L98" s="6">
        <f t="shared" si="27"/>
        <v>1.6972635864385794</v>
      </c>
      <c r="M98" s="7">
        <f t="shared" si="27"/>
        <v>6.8486550235480026</v>
      </c>
      <c r="N98" s="19"/>
      <c r="O98" s="19"/>
      <c r="P98" s="19"/>
      <c r="Q98" s="19"/>
      <c r="R98" s="19"/>
      <c r="S98" s="19"/>
      <c r="T98" s="19"/>
      <c r="U98" s="19"/>
      <c r="V98" s="19"/>
    </row>
    <row r="99" spans="3:36" x14ac:dyDescent="0.3">
      <c r="C99" s="20" t="s">
        <v>10</v>
      </c>
      <c r="D99" s="25" t="str">
        <f t="shared" si="28"/>
        <v>Serv</v>
      </c>
      <c r="E99" s="5">
        <f t="shared" si="27"/>
        <v>5.4060240411429277</v>
      </c>
      <c r="F99" s="6">
        <f t="shared" si="27"/>
        <v>4.0677264398450177</v>
      </c>
      <c r="G99" s="6">
        <f t="shared" si="27"/>
        <v>3.3060907229569469</v>
      </c>
      <c r="H99" s="6">
        <f t="shared" si="27"/>
        <v>0.80399315847887709</v>
      </c>
      <c r="I99" s="6">
        <f t="shared" si="27"/>
        <v>7.1569506056523124</v>
      </c>
      <c r="J99" s="6">
        <f t="shared" si="27"/>
        <v>1.6873895231077212</v>
      </c>
      <c r="K99" s="6">
        <f t="shared" si="27"/>
        <v>0.80738453723908288</v>
      </c>
      <c r="L99" s="6">
        <f t="shared" si="27"/>
        <v>5.0917907593157379</v>
      </c>
      <c r="M99" s="7">
        <f t="shared" si="27"/>
        <v>0.85608187794350032</v>
      </c>
      <c r="N99" s="19"/>
      <c r="O99" s="19"/>
      <c r="P99" s="19"/>
      <c r="Q99" s="19"/>
      <c r="R99" s="19"/>
      <c r="S99" s="19"/>
      <c r="T99" s="19"/>
      <c r="U99" s="19"/>
      <c r="V99" s="19"/>
    </row>
    <row r="100" spans="3:36" x14ac:dyDescent="0.3">
      <c r="C100" s="20" t="s">
        <v>11</v>
      </c>
      <c r="D100" s="25" t="str">
        <f t="shared" si="28"/>
        <v>Agr</v>
      </c>
      <c r="E100" s="5">
        <f t="shared" si="27"/>
        <v>2.7030120205714638</v>
      </c>
      <c r="F100" s="6">
        <f t="shared" si="27"/>
        <v>8.1354528796900354</v>
      </c>
      <c r="G100" s="6">
        <f t="shared" si="27"/>
        <v>6.6121814459138939</v>
      </c>
      <c r="H100" s="6">
        <f t="shared" si="27"/>
        <v>7.235938426309894</v>
      </c>
      <c r="I100" s="6">
        <f t="shared" si="27"/>
        <v>7.9521673396136805</v>
      </c>
      <c r="J100" s="6">
        <f t="shared" si="27"/>
        <v>0</v>
      </c>
      <c r="K100" s="6">
        <f t="shared" si="27"/>
        <v>5.6516917606735806</v>
      </c>
      <c r="L100" s="6">
        <f t="shared" si="27"/>
        <v>7.6376861389736073</v>
      </c>
      <c r="M100" s="7">
        <f t="shared" si="27"/>
        <v>6.8486550235480026</v>
      </c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3:36" x14ac:dyDescent="0.3">
      <c r="C101" s="20" t="s">
        <v>11</v>
      </c>
      <c r="D101" s="25" t="str">
        <f t="shared" si="28"/>
        <v>Ind</v>
      </c>
      <c r="E101" s="5">
        <f t="shared" si="27"/>
        <v>0.90100400685715465</v>
      </c>
      <c r="F101" s="6">
        <f t="shared" si="27"/>
        <v>6.508362303752028</v>
      </c>
      <c r="G101" s="6">
        <f t="shared" si="27"/>
        <v>0</v>
      </c>
      <c r="H101" s="6">
        <f t="shared" si="27"/>
        <v>7.235938426309894</v>
      </c>
      <c r="I101" s="6">
        <f t="shared" si="27"/>
        <v>0</v>
      </c>
      <c r="J101" s="6">
        <f t="shared" si="27"/>
        <v>0</v>
      </c>
      <c r="K101" s="6">
        <f t="shared" si="27"/>
        <v>6.459076297912663</v>
      </c>
      <c r="L101" s="6">
        <f t="shared" si="27"/>
        <v>8.4863179321928968</v>
      </c>
      <c r="M101" s="7">
        <f t="shared" si="27"/>
        <v>0.85608187794350032</v>
      </c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3:36" x14ac:dyDescent="0.3">
      <c r="C102" s="20" t="s">
        <v>11</v>
      </c>
      <c r="D102" s="25" t="str">
        <f t="shared" si="28"/>
        <v>Serv</v>
      </c>
      <c r="E102" s="9">
        <f t="shared" si="27"/>
        <v>9.0100400685715467</v>
      </c>
      <c r="F102" s="10">
        <f t="shared" si="27"/>
        <v>1.627090575938007</v>
      </c>
      <c r="G102" s="10">
        <f t="shared" si="27"/>
        <v>3.3060907229569469</v>
      </c>
      <c r="H102" s="10">
        <f t="shared" si="27"/>
        <v>8.0399315847887713</v>
      </c>
      <c r="I102" s="10">
        <f t="shared" si="27"/>
        <v>0</v>
      </c>
      <c r="J102" s="10">
        <f t="shared" si="27"/>
        <v>0</v>
      </c>
      <c r="K102" s="10">
        <f t="shared" si="27"/>
        <v>2.4221536117172486</v>
      </c>
      <c r="L102" s="10">
        <f t="shared" si="27"/>
        <v>0</v>
      </c>
      <c r="M102" s="11">
        <f t="shared" si="27"/>
        <v>5.9925731456045019</v>
      </c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3:36" x14ac:dyDescent="0.3">
      <c r="N103" s="19">
        <f>+SUM(E94:M102)</f>
        <v>346.88456569732642</v>
      </c>
    </row>
    <row r="104" spans="3:36" ht="15" thickBot="1" x14ac:dyDescent="0.35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36" ht="15" thickBot="1" x14ac:dyDescent="0.35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36" x14ac:dyDescent="0.3">
      <c r="C106" s="20" t="s">
        <v>1</v>
      </c>
      <c r="D106" s="28" t="s">
        <v>51</v>
      </c>
      <c r="E106" s="1">
        <f>+MAX(E94-E78,0)</f>
        <v>1.0100400685715467</v>
      </c>
      <c r="F106" s="2">
        <f t="shared" ref="F106:M106" si="29">+MAX(F94-F78,0)</f>
        <v>6.7726439845017694E-2</v>
      </c>
      <c r="G106" s="2">
        <f t="shared" si="29"/>
        <v>0.26522680739236648</v>
      </c>
      <c r="H106" s="2">
        <f t="shared" si="29"/>
        <v>3.9931584788770458E-3</v>
      </c>
      <c r="I106" s="2">
        <f t="shared" si="29"/>
        <v>0</v>
      </c>
      <c r="J106" s="2">
        <f t="shared" si="29"/>
        <v>0.34955809243088432</v>
      </c>
      <c r="K106" s="2">
        <f t="shared" si="29"/>
        <v>2.2153611717248278E-2</v>
      </c>
      <c r="L106" s="2">
        <f t="shared" si="29"/>
        <v>0.34042255253502685</v>
      </c>
      <c r="M106" s="3">
        <f t="shared" si="29"/>
        <v>0.11216375588700056</v>
      </c>
      <c r="N106" s="53">
        <f>+SUM(E106:M106)</f>
        <v>2.1712844868579682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6"/>
      <c r="Y106" s="16"/>
      <c r="Z106" s="16"/>
      <c r="AA106" s="16"/>
      <c r="AB106" s="16"/>
      <c r="AC106" s="16"/>
      <c r="AD106" s="16"/>
      <c r="AE106" s="16"/>
      <c r="AF106" s="16"/>
      <c r="AG106" s="18"/>
      <c r="AH106" s="18"/>
      <c r="AI106" s="18"/>
      <c r="AJ106" s="18"/>
    </row>
    <row r="107" spans="3:36" x14ac:dyDescent="0.3">
      <c r="C107" s="20" t="s">
        <v>1</v>
      </c>
      <c r="D107" s="25" t="s">
        <v>52</v>
      </c>
      <c r="E107" s="5">
        <f t="shared" ref="E107:M114" si="30">+MAX(E95-E79,0)</f>
        <v>0.10484499764955757</v>
      </c>
      <c r="F107" s="6">
        <f t="shared" si="30"/>
        <v>0</v>
      </c>
      <c r="G107" s="6">
        <f t="shared" si="30"/>
        <v>0</v>
      </c>
      <c r="H107" s="6">
        <f t="shared" si="30"/>
        <v>0</v>
      </c>
      <c r="I107" s="6">
        <f t="shared" si="30"/>
        <v>0</v>
      </c>
      <c r="J107" s="6">
        <f t="shared" si="30"/>
        <v>0</v>
      </c>
      <c r="K107" s="6">
        <f t="shared" si="30"/>
        <v>0</v>
      </c>
      <c r="L107" s="6">
        <f t="shared" si="30"/>
        <v>0</v>
      </c>
      <c r="M107" s="7">
        <f t="shared" si="30"/>
        <v>0</v>
      </c>
      <c r="N107" s="8">
        <f t="shared" ref="N107:N114" si="31">+SUM(E107:M107)</f>
        <v>0.10484499764955757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6"/>
      <c r="Y107" s="16"/>
      <c r="Z107" s="16"/>
      <c r="AA107" s="16"/>
      <c r="AB107" s="16"/>
      <c r="AC107" s="16"/>
      <c r="AD107" s="16"/>
      <c r="AE107" s="16"/>
      <c r="AF107" s="16"/>
      <c r="AG107" s="18"/>
      <c r="AH107" s="18"/>
      <c r="AI107" s="18"/>
      <c r="AJ107" s="18"/>
    </row>
    <row r="108" spans="3:36" x14ac:dyDescent="0.3">
      <c r="C108" s="20" t="s">
        <v>1</v>
      </c>
      <c r="D108" s="25" t="s">
        <v>53</v>
      </c>
      <c r="E108" s="5">
        <f t="shared" si="30"/>
        <v>0</v>
      </c>
      <c r="F108" s="6">
        <f t="shared" si="30"/>
        <v>0</v>
      </c>
      <c r="G108" s="6">
        <f t="shared" si="30"/>
        <v>0</v>
      </c>
      <c r="H108" s="6">
        <f t="shared" si="30"/>
        <v>0</v>
      </c>
      <c r="I108" s="6">
        <f t="shared" si="30"/>
        <v>0</v>
      </c>
      <c r="J108" s="6">
        <f t="shared" si="30"/>
        <v>0</v>
      </c>
      <c r="K108" s="6">
        <f t="shared" si="30"/>
        <v>0</v>
      </c>
      <c r="L108" s="6">
        <f t="shared" si="30"/>
        <v>0</v>
      </c>
      <c r="M108" s="7">
        <f t="shared" si="30"/>
        <v>0</v>
      </c>
      <c r="N108" s="8">
        <f t="shared" si="31"/>
        <v>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6"/>
      <c r="Y108" s="16"/>
      <c r="Z108" s="16"/>
      <c r="AA108" s="16"/>
      <c r="AB108" s="16"/>
      <c r="AC108" s="16"/>
      <c r="AD108" s="16"/>
      <c r="AE108" s="16"/>
      <c r="AF108" s="16"/>
      <c r="AG108" s="18"/>
      <c r="AH108" s="18"/>
      <c r="AI108" s="18"/>
      <c r="AJ108" s="18"/>
    </row>
    <row r="109" spans="3:36" x14ac:dyDescent="0.3">
      <c r="C109" s="20" t="s">
        <v>10</v>
      </c>
      <c r="D109" s="25" t="str">
        <f>+D106</f>
        <v>Agr</v>
      </c>
      <c r="E109" s="5">
        <f t="shared" si="30"/>
        <v>0.11795062235575227</v>
      </c>
      <c r="F109" s="6">
        <f t="shared" si="30"/>
        <v>0</v>
      </c>
      <c r="G109" s="6">
        <f t="shared" si="30"/>
        <v>0</v>
      </c>
      <c r="H109" s="6">
        <f t="shared" si="30"/>
        <v>0</v>
      </c>
      <c r="I109" s="6">
        <f t="shared" si="30"/>
        <v>0</v>
      </c>
      <c r="J109" s="6">
        <f t="shared" si="30"/>
        <v>0</v>
      </c>
      <c r="K109" s="6">
        <f t="shared" si="30"/>
        <v>0</v>
      </c>
      <c r="L109" s="6">
        <f t="shared" si="30"/>
        <v>0</v>
      </c>
      <c r="M109" s="7">
        <f t="shared" si="30"/>
        <v>0</v>
      </c>
      <c r="N109" s="8">
        <f t="shared" si="31"/>
        <v>0.11795062235575227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6"/>
      <c r="Y109" s="16"/>
      <c r="Z109" s="16"/>
      <c r="AA109" s="16"/>
      <c r="AB109" s="16"/>
      <c r="AC109" s="16"/>
      <c r="AD109" s="16"/>
      <c r="AE109" s="16"/>
      <c r="AF109" s="16"/>
      <c r="AG109" s="18"/>
      <c r="AH109" s="18"/>
      <c r="AI109" s="18"/>
      <c r="AJ109" s="18"/>
    </row>
    <row r="110" spans="3:36" x14ac:dyDescent="0.3">
      <c r="C110" s="20" t="s">
        <v>10</v>
      </c>
      <c r="D110" s="25" t="str">
        <f t="shared" ref="D110:D114" si="32">+D107</f>
        <v>Ind</v>
      </c>
      <c r="E110" s="5">
        <f t="shared" si="30"/>
        <v>0</v>
      </c>
      <c r="F110" s="6">
        <f t="shared" si="30"/>
        <v>0</v>
      </c>
      <c r="G110" s="6">
        <f t="shared" si="30"/>
        <v>0</v>
      </c>
      <c r="H110" s="6">
        <f t="shared" si="30"/>
        <v>0</v>
      </c>
      <c r="I110" s="6">
        <f t="shared" si="30"/>
        <v>0</v>
      </c>
      <c r="J110" s="6">
        <f t="shared" si="30"/>
        <v>0</v>
      </c>
      <c r="K110" s="6">
        <f t="shared" si="30"/>
        <v>0</v>
      </c>
      <c r="L110" s="6">
        <f t="shared" si="30"/>
        <v>0</v>
      </c>
      <c r="M110" s="7">
        <f t="shared" si="30"/>
        <v>0</v>
      </c>
      <c r="N110" s="8">
        <f t="shared" si="31"/>
        <v>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6"/>
      <c r="Y110" s="16"/>
      <c r="Z110" s="16"/>
      <c r="AA110" s="16"/>
      <c r="AB110" s="16"/>
      <c r="AC110" s="16"/>
      <c r="AD110" s="16"/>
      <c r="AE110" s="16"/>
      <c r="AF110" s="16"/>
      <c r="AG110" s="18"/>
      <c r="AH110" s="18"/>
      <c r="AI110" s="18"/>
      <c r="AJ110" s="18"/>
    </row>
    <row r="111" spans="3:36" x14ac:dyDescent="0.3">
      <c r="C111" s="20" t="s">
        <v>10</v>
      </c>
      <c r="D111" s="25" t="str">
        <f t="shared" si="32"/>
        <v>Serv</v>
      </c>
      <c r="E111" s="5">
        <f t="shared" si="30"/>
        <v>7.8633748237168177E-2</v>
      </c>
      <c r="F111" s="6">
        <f t="shared" si="30"/>
        <v>0</v>
      </c>
      <c r="G111" s="6">
        <f t="shared" si="30"/>
        <v>0</v>
      </c>
      <c r="H111" s="6">
        <f t="shared" si="30"/>
        <v>0</v>
      </c>
      <c r="I111" s="6">
        <f t="shared" si="30"/>
        <v>0</v>
      </c>
      <c r="J111" s="6">
        <f t="shared" si="30"/>
        <v>0</v>
      </c>
      <c r="K111" s="6">
        <f t="shared" si="30"/>
        <v>0</v>
      </c>
      <c r="L111" s="6">
        <f t="shared" si="30"/>
        <v>0</v>
      </c>
      <c r="M111" s="7">
        <f t="shared" si="30"/>
        <v>0</v>
      </c>
      <c r="N111" s="8">
        <f t="shared" si="31"/>
        <v>7.8633748237168177E-2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6"/>
      <c r="Y111" s="16"/>
      <c r="Z111" s="16"/>
      <c r="AA111" s="16"/>
      <c r="AB111" s="16"/>
      <c r="AC111" s="16"/>
      <c r="AD111" s="16"/>
      <c r="AE111" s="16"/>
      <c r="AF111" s="16"/>
      <c r="AG111" s="18"/>
      <c r="AH111" s="18"/>
      <c r="AI111" s="18"/>
      <c r="AJ111" s="18"/>
    </row>
    <row r="112" spans="3:36" x14ac:dyDescent="0.3">
      <c r="C112" s="20" t="s">
        <v>11</v>
      </c>
      <c r="D112" s="25" t="str">
        <f t="shared" si="32"/>
        <v>Agr</v>
      </c>
      <c r="E112" s="5">
        <f t="shared" si="30"/>
        <v>3.9316874118584089E-2</v>
      </c>
      <c r="F112" s="6">
        <f t="shared" si="30"/>
        <v>0</v>
      </c>
      <c r="G112" s="6">
        <f t="shared" si="30"/>
        <v>0</v>
      </c>
      <c r="H112" s="6">
        <f t="shared" si="30"/>
        <v>0</v>
      </c>
      <c r="I112" s="6">
        <f t="shared" si="30"/>
        <v>0</v>
      </c>
      <c r="J112" s="6">
        <f t="shared" si="30"/>
        <v>0</v>
      </c>
      <c r="K112" s="6">
        <f t="shared" si="30"/>
        <v>0</v>
      </c>
      <c r="L112" s="6">
        <f t="shared" si="30"/>
        <v>0</v>
      </c>
      <c r="M112" s="7">
        <f t="shared" si="30"/>
        <v>0</v>
      </c>
      <c r="N112" s="8">
        <f t="shared" si="31"/>
        <v>3.9316874118584089E-2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6"/>
      <c r="Y112" s="16"/>
      <c r="Z112" s="16"/>
      <c r="AA112" s="16"/>
      <c r="AB112" s="16"/>
      <c r="AC112" s="16"/>
      <c r="AD112" s="16"/>
      <c r="AE112" s="16"/>
      <c r="AF112" s="16"/>
      <c r="AG112" s="18"/>
      <c r="AH112" s="18"/>
      <c r="AI112" s="18"/>
      <c r="AJ112" s="18"/>
    </row>
    <row r="113" spans="1:36" x14ac:dyDescent="0.3">
      <c r="C113" s="20" t="s">
        <v>11</v>
      </c>
      <c r="D113" s="25" t="str">
        <f t="shared" si="32"/>
        <v>Ind</v>
      </c>
      <c r="E113" s="5">
        <f t="shared" si="30"/>
        <v>1.3105624706194696E-2</v>
      </c>
      <c r="F113" s="6">
        <f t="shared" si="30"/>
        <v>0</v>
      </c>
      <c r="G113" s="6">
        <f t="shared" si="30"/>
        <v>0</v>
      </c>
      <c r="H113" s="6">
        <f t="shared" si="30"/>
        <v>0</v>
      </c>
      <c r="I113" s="6">
        <f t="shared" si="30"/>
        <v>0</v>
      </c>
      <c r="J113" s="6">
        <f t="shared" si="30"/>
        <v>0</v>
      </c>
      <c r="K113" s="6">
        <f t="shared" si="30"/>
        <v>0</v>
      </c>
      <c r="L113" s="6">
        <f t="shared" si="30"/>
        <v>0</v>
      </c>
      <c r="M113" s="7">
        <f t="shared" si="30"/>
        <v>0</v>
      </c>
      <c r="N113" s="8">
        <f t="shared" si="31"/>
        <v>1.3105624706194696E-2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6"/>
      <c r="Y113" s="16"/>
      <c r="Z113" s="16"/>
      <c r="AA113" s="16"/>
      <c r="AB113" s="16"/>
      <c r="AC113" s="16"/>
      <c r="AD113" s="16"/>
      <c r="AE113" s="16"/>
      <c r="AF113" s="16"/>
      <c r="AG113" s="18"/>
      <c r="AH113" s="18"/>
      <c r="AI113" s="18"/>
      <c r="AJ113" s="18"/>
    </row>
    <row r="114" spans="1:36" x14ac:dyDescent="0.3">
      <c r="C114" s="20" t="s">
        <v>11</v>
      </c>
      <c r="D114" s="25" t="str">
        <f t="shared" si="32"/>
        <v>Serv</v>
      </c>
      <c r="E114" s="9">
        <f t="shared" si="30"/>
        <v>0.13105624706194696</v>
      </c>
      <c r="F114" s="10">
        <f t="shared" si="30"/>
        <v>0</v>
      </c>
      <c r="G114" s="10">
        <f t="shared" si="30"/>
        <v>0</v>
      </c>
      <c r="H114" s="10">
        <f t="shared" si="30"/>
        <v>0</v>
      </c>
      <c r="I114" s="10">
        <f t="shared" si="30"/>
        <v>0</v>
      </c>
      <c r="J114" s="10">
        <f t="shared" si="30"/>
        <v>0</v>
      </c>
      <c r="K114" s="10">
        <f t="shared" si="30"/>
        <v>0</v>
      </c>
      <c r="L114" s="10">
        <f t="shared" si="30"/>
        <v>0</v>
      </c>
      <c r="M114" s="11">
        <f t="shared" si="30"/>
        <v>0</v>
      </c>
      <c r="N114" s="12">
        <f t="shared" si="31"/>
        <v>0.13105624706194696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6"/>
      <c r="Y114" s="16"/>
      <c r="Z114" s="16"/>
      <c r="AA114" s="16"/>
      <c r="AB114" s="16"/>
      <c r="AC114" s="16"/>
      <c r="AD114" s="16"/>
      <c r="AE114" s="16"/>
      <c r="AF114" s="16"/>
      <c r="AG114" s="18"/>
      <c r="AH114" s="18"/>
      <c r="AI114" s="18"/>
      <c r="AJ114" s="18"/>
    </row>
    <row r="115" spans="1:36" x14ac:dyDescent="0.3">
      <c r="C115" s="57"/>
      <c r="D115" s="57"/>
      <c r="E115" s="13">
        <f t="shared" ref="E115:M115" si="33">SUM(E105:E114)</f>
        <v>1.4949481827007505</v>
      </c>
      <c r="F115" s="14">
        <f t="shared" si="33"/>
        <v>6.7726439845017694E-2</v>
      </c>
      <c r="G115" s="14">
        <f t="shared" si="33"/>
        <v>0.26522680739236648</v>
      </c>
      <c r="H115" s="14">
        <f t="shared" si="33"/>
        <v>3.9931584788770458E-3</v>
      </c>
      <c r="I115" s="14">
        <f t="shared" si="33"/>
        <v>0</v>
      </c>
      <c r="J115" s="14">
        <f t="shared" si="33"/>
        <v>0.34955809243088432</v>
      </c>
      <c r="K115" s="14">
        <f t="shared" si="33"/>
        <v>2.2153611717248278E-2</v>
      </c>
      <c r="L115" s="14">
        <f t="shared" si="33"/>
        <v>0.34042255253502685</v>
      </c>
      <c r="M115" s="15">
        <f t="shared" si="33"/>
        <v>0.11216375588700056</v>
      </c>
      <c r="N115" s="19">
        <f>+SUM(E106:M114)</f>
        <v>2.6561926009871719</v>
      </c>
    </row>
    <row r="116" spans="1:36" x14ac:dyDescent="0.3">
      <c r="A116" s="66"/>
    </row>
    <row r="117" spans="1:36" x14ac:dyDescent="0.3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  <c r="N117" s="57" t="s">
        <v>56</v>
      </c>
      <c r="O117" t="str" cm="1">
        <f t="array" ref="O117:Q117">+TRANSPOSE(_xlfn.UNIQUE($D$118:$D$126))</f>
        <v>Agr</v>
      </c>
      <c r="P117" t="str">
        <v>Ind</v>
      </c>
      <c r="Q117" t="str">
        <v>Serv</v>
      </c>
      <c r="R117" s="100" t="s">
        <v>58</v>
      </c>
    </row>
    <row r="118" spans="1:36" x14ac:dyDescent="0.3">
      <c r="A118" s="67"/>
      <c r="C118" s="20" t="s">
        <v>1</v>
      </c>
      <c r="D118" s="20" t="s">
        <v>51</v>
      </c>
      <c r="E118" s="53">
        <f>+MAX(F60-H47-SUM(E78:M78),0)</f>
        <v>0</v>
      </c>
      <c r="F118" s="53" cm="1">
        <f t="array" ref="F118">+IFERROR(E118/_xlfn.XLOOKUP(D118,_xlfn.ANCHORARRAY($I$118),$K$118:$K$120,,0),1)</f>
        <v>0</v>
      </c>
      <c r="G118" s="53" cm="1">
        <f t="array" ref="G118">+E118/_xlfn.XLOOKUP(D118,_xlfn.ANCHORARRAY($I$118),$J$118:$J$120,,0)</f>
        <v>0</v>
      </c>
      <c r="I118" s="54" t="str" cm="1">
        <f t="array" ref="I118:I120">+_xlfn.UNIQUE(D118:D126)</f>
        <v>Agr</v>
      </c>
      <c r="J118" s="58">
        <f>+SUMIF($D$118:$D$126,I118,$E$118:$E$126)</f>
        <v>23.384281565930984</v>
      </c>
      <c r="K118" s="40">
        <f>+SUMIF($D$106:$D$114,I118,$N$106:$N$114)</f>
        <v>2.3285519833323045</v>
      </c>
      <c r="L118" s="40">
        <f>+IFERROR(MIN(1,J118/K118),1)</f>
        <v>1</v>
      </c>
      <c r="M118" s="18"/>
      <c r="N118" t="str" cm="1">
        <f t="array" ref="N118:N120">+_xlfn.UNIQUE($C$118:$C$126)</f>
        <v>A</v>
      </c>
      <c r="O118" s="16">
        <f>+SUMIFS($E$118:$E$126,$C$118:$C$126,$N118,$D$118:$D$126,O$117)</f>
        <v>0</v>
      </c>
      <c r="P118" s="16">
        <f t="shared" ref="P118:Q118" si="34">+SUMIFS($E$118:$E$126,$C$118:$C$126,$N118,$D$118:$D$126,P$117)</f>
        <v>8.161097436973705</v>
      </c>
      <c r="Q118" s="16">
        <f t="shared" si="34"/>
        <v>6.0751775648424946</v>
      </c>
      <c r="S118" s="99" cm="1">
        <f t="array" ref="S118:S120">+O118:O120/O121</f>
        <v>0</v>
      </c>
      <c r="T118" s="99" cm="1">
        <f t="array" ref="T118:T120">+P118:P120/P121</f>
        <v>0.45034088799129079</v>
      </c>
      <c r="U118" s="99" cm="1">
        <f t="array" ref="U118:U120">+Q118:Q120/Q121</f>
        <v>0.3060916139824818</v>
      </c>
    </row>
    <row r="119" spans="1:36" x14ac:dyDescent="0.3">
      <c r="C119" s="20" t="s">
        <v>1</v>
      </c>
      <c r="D119" s="20" t="s">
        <v>52</v>
      </c>
      <c r="E119" s="8">
        <f>+MAX(F61-H48-SUM(E79:M79),0)</f>
        <v>8.161097436973705</v>
      </c>
      <c r="F119" s="8" cm="1">
        <f t="array" ref="F119">+IFERROR(E119/_xlfn.XLOOKUP(D119,_xlfn.ANCHORARRAY($I$118),$K$118:$K$120,,0),1)</f>
        <v>69.19079589388619</v>
      </c>
      <c r="G119" s="8" cm="1">
        <f t="array" ref="G119">+E119/_xlfn.XLOOKUP(D119,_xlfn.ANCHORARRAY($I$118),$J$118:$J$120,,0)</f>
        <v>0.45034088799129079</v>
      </c>
      <c r="I119" s="55" t="str">
        <v>Ind</v>
      </c>
      <c r="J119" s="59">
        <f t="shared" ref="J119:J120" si="35">+SUMIF($D$118:$D$126,I119,$E$118:$E$126)</f>
        <v>18.12204411057504</v>
      </c>
      <c r="K119" s="41">
        <f t="shared" ref="K119:K120" si="36">+SUMIF($D$106:$D$114,I119,$N$106:$N$114)</f>
        <v>0.11795062235575227</v>
      </c>
      <c r="L119" s="40">
        <f t="shared" ref="L119:L120" si="37">+IFERROR(MIN(1,J119/K119),1)</f>
        <v>1</v>
      </c>
      <c r="M119" s="18"/>
      <c r="N119" t="str">
        <v>B</v>
      </c>
      <c r="O119" s="16">
        <f t="shared" ref="O119:Q120" si="38">+SUMIFS($E$118:$E$126,$C$118:$C$126,$N119,$D$118:$D$126,O$117)</f>
        <v>12.216371430185816</v>
      </c>
      <c r="P119" s="16">
        <f t="shared" si="38"/>
        <v>2.5274725274725398</v>
      </c>
      <c r="Q119" s="16">
        <f t="shared" si="38"/>
        <v>6.703776404936189</v>
      </c>
      <c r="S119" s="99">
        <v>0.52241807796156914</v>
      </c>
      <c r="T119" s="99">
        <v>0.13946950531908509</v>
      </c>
      <c r="U119" s="99">
        <v>0.33776292423772097</v>
      </c>
    </row>
    <row r="120" spans="1:36" x14ac:dyDescent="0.3">
      <c r="C120" s="20" t="s">
        <v>1</v>
      </c>
      <c r="D120" s="20" t="s">
        <v>53</v>
      </c>
      <c r="E120" s="8">
        <f>+MAX(F62-H49-SUM(E80:M80),0)</f>
        <v>6.0751775648424946</v>
      </c>
      <c r="F120" s="8" cm="1">
        <f t="array" ref="F120">+IFERROR(E120/_xlfn.XLOOKUP(D120,_xlfn.ANCHORARRAY($I$118),$K$118:$K$120,,0),1)</f>
        <v>28.972186089166893</v>
      </c>
      <c r="G120" s="8" cm="1">
        <f t="array" ref="G120">+E120/_xlfn.XLOOKUP(D120,_xlfn.ANCHORARRAY($I$118),$J$118:$J$120,,0)</f>
        <v>0.3060916139824818</v>
      </c>
      <c r="I120" s="56" t="str">
        <v>Serv</v>
      </c>
      <c r="J120" s="60">
        <f t="shared" si="35"/>
        <v>19.847579245311138</v>
      </c>
      <c r="K120" s="42">
        <f t="shared" si="36"/>
        <v>0.20968999529911514</v>
      </c>
      <c r="L120" s="40">
        <f t="shared" si="37"/>
        <v>1</v>
      </c>
      <c r="M120" s="18"/>
      <c r="N120" t="str">
        <v>C</v>
      </c>
      <c r="O120" s="16">
        <f t="shared" si="38"/>
        <v>11.167910135745167</v>
      </c>
      <c r="P120" s="16">
        <f t="shared" si="38"/>
        <v>7.4334741461287948</v>
      </c>
      <c r="Q120" s="16">
        <f t="shared" si="38"/>
        <v>7.0686252755324546</v>
      </c>
      <c r="S120" s="99">
        <v>0.47758192203843086</v>
      </c>
      <c r="T120" s="99">
        <v>0.41018960668962412</v>
      </c>
      <c r="U120" s="99">
        <v>0.35614546177979722</v>
      </c>
    </row>
    <row r="121" spans="1:36" x14ac:dyDescent="0.3">
      <c r="C121" s="20" t="s">
        <v>10</v>
      </c>
      <c r="D121" s="20" t="str">
        <f>+D118</f>
        <v>Agr</v>
      </c>
      <c r="E121" s="8">
        <f>+MAX(F63-H50-SUM(E81:M81),0)</f>
        <v>12.216371430185816</v>
      </c>
      <c r="F121" s="8" cm="1">
        <f t="array" ref="F121">+IFERROR(E121/_xlfn.XLOOKUP(D121,_xlfn.ANCHORARRAY($I$118),$K$118:$K$120,,0),1)</f>
        <v>5.2463382899029893</v>
      </c>
      <c r="G121" s="8" cm="1">
        <f t="array" ref="G121">+E121/_xlfn.XLOOKUP(D121,_xlfn.ANCHORARRAY($I$118),$J$118:$J$120,,0)</f>
        <v>0.52241807796156914</v>
      </c>
      <c r="H121" s="18"/>
      <c r="N121" t="s">
        <v>57</v>
      </c>
      <c r="O121" s="19">
        <f>SUM(O118:O120)</f>
        <v>23.384281565930984</v>
      </c>
      <c r="P121" s="19">
        <f t="shared" ref="P121:Q121" si="39">SUM(P118:P120)</f>
        <v>18.12204411057504</v>
      </c>
      <c r="Q121" s="19">
        <f t="shared" si="39"/>
        <v>19.847579245311138</v>
      </c>
    </row>
    <row r="122" spans="1:36" x14ac:dyDescent="0.3">
      <c r="C122" s="20" t="s">
        <v>10</v>
      </c>
      <c r="D122" s="20" t="str">
        <f t="shared" ref="D122:D126" si="40">+D119</f>
        <v>Ind</v>
      </c>
      <c r="E122" s="8">
        <f t="shared" ref="E122:E126" si="41">+MAX(F64-H51-SUM(E82:M82),0)</f>
        <v>2.5274725274725398</v>
      </c>
      <c r="F122" s="8" cm="1">
        <f t="array" ref="F122">+IFERROR(E122/_xlfn.XLOOKUP(D122,_xlfn.ANCHORARRAY($I$118),$K$118:$K$120,,0),1)</f>
        <v>21.428225447165509</v>
      </c>
      <c r="G122" s="8" cm="1">
        <f t="array" ref="G122">+E122/_xlfn.XLOOKUP(D122,_xlfn.ANCHORARRAY($I$118),$J$118:$J$120,,0)</f>
        <v>0.13946950531908509</v>
      </c>
      <c r="I122" s="20" t="s">
        <v>39</v>
      </c>
    </row>
    <row r="123" spans="1:36" x14ac:dyDescent="0.3">
      <c r="C123" s="20" t="s">
        <v>10</v>
      </c>
      <c r="D123" s="20" t="str">
        <f t="shared" si="40"/>
        <v>Serv</v>
      </c>
      <c r="E123" s="8">
        <f t="shared" si="41"/>
        <v>6.703776404936189</v>
      </c>
      <c r="F123" s="8" cm="1">
        <f t="array" ref="F123">+IFERROR(E123/_xlfn.XLOOKUP(D123,_xlfn.ANCHORARRAY($I$118),$K$118:$K$120,,0),1)</f>
        <v>31.969939220865051</v>
      </c>
      <c r="G123" s="8" cm="1">
        <f t="array" ref="G123">+E123/_xlfn.XLOOKUP(D123,_xlfn.ANCHORARRAY($I$118),$J$118:$J$120,,0)</f>
        <v>0.33776292423772097</v>
      </c>
      <c r="I123" s="69">
        <v>1</v>
      </c>
    </row>
    <row r="124" spans="1:36" x14ac:dyDescent="0.3">
      <c r="C124" s="20" t="s">
        <v>11</v>
      </c>
      <c r="D124" s="20" t="str">
        <f t="shared" si="40"/>
        <v>Agr</v>
      </c>
      <c r="E124" s="8">
        <f t="shared" si="41"/>
        <v>11.167910135745167</v>
      </c>
      <c r="F124" s="8" cm="1">
        <f t="array" ref="F124">+IFERROR(E124/_xlfn.XLOOKUP(D124,_xlfn.ANCHORARRAY($I$118),$K$118:$K$120,,0),1)</f>
        <v>4.7960750782824197</v>
      </c>
      <c r="G124" s="8" cm="1">
        <f t="array" ref="G124">+E124/_xlfn.XLOOKUP(D124,_xlfn.ANCHORARRAY($I$118),$J$118:$J$120,,0)</f>
        <v>0.47758192203843086</v>
      </c>
    </row>
    <row r="125" spans="1:36" x14ac:dyDescent="0.3">
      <c r="C125" s="20" t="s">
        <v>11</v>
      </c>
      <c r="D125" s="20" t="str">
        <f t="shared" si="40"/>
        <v>Ind</v>
      </c>
      <c r="E125" s="8">
        <f t="shared" si="41"/>
        <v>7.4334741461287948</v>
      </c>
      <c r="F125" s="8" cm="1">
        <f t="array" ref="F125">+IFERROR(E125/_xlfn.XLOOKUP(D125,_xlfn.ANCHORARRAY($I$118),$K$118:$K$120,,0),1)</f>
        <v>63.02191542244352</v>
      </c>
      <c r="G125" s="8" cm="1">
        <f t="array" ref="G125">+E125/_xlfn.XLOOKUP(D125,_xlfn.ANCHORARRAY($I$118),$J$118:$J$120,,0)</f>
        <v>0.41018960668962412</v>
      </c>
    </row>
    <row r="126" spans="1:36" x14ac:dyDescent="0.3">
      <c r="C126" s="20" t="s">
        <v>11</v>
      </c>
      <c r="D126" s="20" t="str">
        <f t="shared" si="40"/>
        <v>Serv</v>
      </c>
      <c r="E126" s="12">
        <f t="shared" si="41"/>
        <v>7.0686252755324546</v>
      </c>
      <c r="F126" s="12" cm="1">
        <f t="array" ref="F126">+IFERROR(E126/_xlfn.XLOOKUP(D126,_xlfn.ANCHORARRAY($I$118),$K$118:$K$120,,0),1)</f>
        <v>33.709883322994585</v>
      </c>
      <c r="G126" s="12" cm="1">
        <f t="array" ref="G126">+E126/_xlfn.XLOOKUP(D126,_xlfn.ANCHORARRAY($I$118),$J$118:$J$120,,0)</f>
        <v>0.35614546177979722</v>
      </c>
    </row>
    <row r="127" spans="1:36" x14ac:dyDescent="0.3">
      <c r="E127" s="19">
        <f>SUM(E118:E126)</f>
        <v>61.353904921817161</v>
      </c>
      <c r="G127" s="19">
        <f>SUM(G118:G126)</f>
        <v>3</v>
      </c>
    </row>
    <row r="128" spans="1:36" ht="15" thickBot="1" x14ac:dyDescent="0.35">
      <c r="A128" s="64"/>
      <c r="E128" s="19"/>
      <c r="G128" s="19"/>
    </row>
    <row r="129" spans="1:24" ht="15" thickBot="1" x14ac:dyDescent="0.35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  <c r="O129" s="109" t="s">
        <v>59</v>
      </c>
      <c r="P129" s="110" t="s">
        <v>1</v>
      </c>
      <c r="Q129" s="110" t="s">
        <v>1</v>
      </c>
      <c r="R129" s="110" t="s">
        <v>1</v>
      </c>
      <c r="S129" s="110" t="s">
        <v>10</v>
      </c>
      <c r="T129" s="110" t="s">
        <v>10</v>
      </c>
      <c r="U129" s="110" t="s">
        <v>10</v>
      </c>
      <c r="V129" s="110" t="s">
        <v>11</v>
      </c>
      <c r="W129" s="110" t="s">
        <v>11</v>
      </c>
      <c r="X129" s="111" t="s">
        <v>11</v>
      </c>
    </row>
    <row r="130" spans="1:24" ht="15" thickBot="1" x14ac:dyDescent="0.35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  <c r="O130" s="112" t="s">
        <v>55</v>
      </c>
      <c r="P130" s="49" t="s">
        <v>51</v>
      </c>
      <c r="Q130" s="49" t="s">
        <v>52</v>
      </c>
      <c r="R130" s="49" t="s">
        <v>53</v>
      </c>
      <c r="S130" s="49" t="s">
        <v>51</v>
      </c>
      <c r="T130" s="49" t="s">
        <v>52</v>
      </c>
      <c r="U130" s="49" t="s">
        <v>53</v>
      </c>
      <c r="V130" s="49" t="s">
        <v>51</v>
      </c>
      <c r="W130" s="49" t="s">
        <v>52</v>
      </c>
      <c r="X130" s="113" t="s">
        <v>53</v>
      </c>
    </row>
    <row r="131" spans="1:24" ht="15" thickBot="1" x14ac:dyDescent="0.35">
      <c r="D131" s="28" t="str" cm="1">
        <f t="array" ref="D131:D133">+_xlfn.UNIQUE(D118:D126)</f>
        <v>Agr</v>
      </c>
      <c r="E131" s="1">
        <f t="shared" ref="E131:M133" si="42">+SUMIF($D$106:$D$114,$D131,E$106:E$114)</f>
        <v>1.1673075650458831</v>
      </c>
      <c r="F131" s="2">
        <f t="shared" si="42"/>
        <v>6.7726439845017694E-2</v>
      </c>
      <c r="G131" s="2">
        <f t="shared" si="42"/>
        <v>0.26522680739236648</v>
      </c>
      <c r="H131" s="2">
        <f t="shared" si="42"/>
        <v>3.9931584788770458E-3</v>
      </c>
      <c r="I131" s="2">
        <f t="shared" si="42"/>
        <v>0</v>
      </c>
      <c r="J131" s="2">
        <f t="shared" si="42"/>
        <v>0.34955809243088432</v>
      </c>
      <c r="K131" s="2">
        <f t="shared" si="42"/>
        <v>2.2153611717248278E-2</v>
      </c>
      <c r="L131" s="2">
        <f t="shared" si="42"/>
        <v>0.34042255253502685</v>
      </c>
      <c r="M131" s="3">
        <f t="shared" si="42"/>
        <v>0.11216375588700056</v>
      </c>
      <c r="O131" s="104">
        <f>+$L118*$I$123</f>
        <v>1</v>
      </c>
      <c r="P131" s="105">
        <f>+$O131*E131</f>
        <v>1.1673075650458831</v>
      </c>
      <c r="Q131" s="105">
        <f t="shared" ref="Q131:X131" si="43">+$O131*F131</f>
        <v>6.7726439845017694E-2</v>
      </c>
      <c r="R131" s="105">
        <f t="shared" si="43"/>
        <v>0.26522680739236648</v>
      </c>
      <c r="S131" s="105">
        <f t="shared" si="43"/>
        <v>3.9931584788770458E-3</v>
      </c>
      <c r="T131" s="105">
        <f t="shared" si="43"/>
        <v>0</v>
      </c>
      <c r="U131" s="105">
        <f t="shared" si="43"/>
        <v>0.34955809243088432</v>
      </c>
      <c r="V131" s="105">
        <f t="shared" si="43"/>
        <v>2.2153611717248278E-2</v>
      </c>
      <c r="W131" s="105">
        <f t="shared" si="43"/>
        <v>0.34042255253502685</v>
      </c>
      <c r="X131" s="106">
        <f t="shared" si="43"/>
        <v>0.11216375588700056</v>
      </c>
    </row>
    <row r="132" spans="1:24" x14ac:dyDescent="0.3">
      <c r="D132" s="25" t="str">
        <v>Ind</v>
      </c>
      <c r="E132" s="5">
        <f t="shared" si="42"/>
        <v>0.11795062235575227</v>
      </c>
      <c r="F132" s="6">
        <f t="shared" si="42"/>
        <v>0</v>
      </c>
      <c r="G132" s="6">
        <f t="shared" si="42"/>
        <v>0</v>
      </c>
      <c r="H132" s="6">
        <f t="shared" si="42"/>
        <v>0</v>
      </c>
      <c r="I132" s="6">
        <f t="shared" si="42"/>
        <v>0</v>
      </c>
      <c r="J132" s="6">
        <f t="shared" si="42"/>
        <v>0</v>
      </c>
      <c r="K132" s="6">
        <f t="shared" si="42"/>
        <v>0</v>
      </c>
      <c r="L132" s="6">
        <f t="shared" si="42"/>
        <v>0</v>
      </c>
      <c r="M132" s="7">
        <f t="shared" si="42"/>
        <v>0</v>
      </c>
      <c r="P132" s="108" cm="1">
        <f t="array" ref="P132:X134">+MMULT(_xlfn.ANCHORARRAY(S118),$P$131:$X$131)</f>
        <v>0</v>
      </c>
      <c r="Q132" s="108">
        <v>0</v>
      </c>
      <c r="R132" s="108">
        <v>0</v>
      </c>
      <c r="S132" s="108">
        <v>0</v>
      </c>
      <c r="T132" s="108">
        <v>0</v>
      </c>
      <c r="U132" s="108">
        <v>0</v>
      </c>
      <c r="V132" s="108">
        <v>0</v>
      </c>
      <c r="W132" s="108">
        <v>0</v>
      </c>
      <c r="X132" s="108">
        <v>0</v>
      </c>
    </row>
    <row r="133" spans="1:24" x14ac:dyDescent="0.3">
      <c r="D133" s="25" t="str">
        <v>Serv</v>
      </c>
      <c r="E133" s="9">
        <f t="shared" si="42"/>
        <v>0.20968999529911514</v>
      </c>
      <c r="F133" s="10">
        <f t="shared" si="42"/>
        <v>0</v>
      </c>
      <c r="G133" s="10">
        <f t="shared" si="42"/>
        <v>0</v>
      </c>
      <c r="H133" s="10">
        <f t="shared" si="42"/>
        <v>0</v>
      </c>
      <c r="I133" s="10">
        <f t="shared" si="42"/>
        <v>0</v>
      </c>
      <c r="J133" s="10">
        <f t="shared" si="42"/>
        <v>0</v>
      </c>
      <c r="K133" s="10">
        <f t="shared" si="42"/>
        <v>0</v>
      </c>
      <c r="L133" s="10">
        <f t="shared" si="42"/>
        <v>0</v>
      </c>
      <c r="M133" s="11">
        <f t="shared" si="42"/>
        <v>0</v>
      </c>
      <c r="P133" s="102">
        <v>0.60982257452126953</v>
      </c>
      <c r="Q133" s="102">
        <v>3.5381516531013978E-2</v>
      </c>
      <c r="R133" s="102">
        <v>0.13855927894180339</v>
      </c>
      <c r="S133" s="102">
        <v>2.0860981775308895E-3</v>
      </c>
      <c r="T133" s="102">
        <v>0</v>
      </c>
      <c r="U133" s="102">
        <v>0.18261546678365512</v>
      </c>
      <c r="V133" s="102">
        <v>1.1573447253231742E-2</v>
      </c>
      <c r="W133" s="102">
        <v>0.17784289559012001</v>
      </c>
      <c r="X133" s="102">
        <v>5.8596373767437468E-2</v>
      </c>
    </row>
    <row r="134" spans="1:24" ht="15" thickBot="1" x14ac:dyDescent="0.35">
      <c r="P134" s="107">
        <v>0.55748499052461353</v>
      </c>
      <c r="Q134" s="107">
        <v>3.2344923314003717E-2</v>
      </c>
      <c r="R134" s="107">
        <v>0.12666752845056309</v>
      </c>
      <c r="S134" s="107">
        <v>1.9070603013461565E-3</v>
      </c>
      <c r="T134" s="107">
        <v>0</v>
      </c>
      <c r="U134" s="107">
        <v>0.1669426256472292</v>
      </c>
      <c r="V134" s="107">
        <v>1.0580164464016537E-2</v>
      </c>
      <c r="W134" s="107">
        <v>0.16257965694490684</v>
      </c>
      <c r="X134" s="107">
        <v>5.3567382119563092E-2</v>
      </c>
    </row>
    <row r="135" spans="1:24" ht="15" thickBot="1" x14ac:dyDescent="0.35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  <c r="O135" s="104">
        <f>+$L119*$I$123</f>
        <v>1</v>
      </c>
      <c r="P135" s="105">
        <f t="shared" ref="P135:X135" si="44">+$O135*E132</f>
        <v>0.11795062235575227</v>
      </c>
      <c r="Q135" s="105">
        <f t="shared" si="44"/>
        <v>0</v>
      </c>
      <c r="R135" s="105">
        <f t="shared" si="44"/>
        <v>0</v>
      </c>
      <c r="S135" s="105">
        <f t="shared" si="44"/>
        <v>0</v>
      </c>
      <c r="T135" s="105">
        <f t="shared" si="44"/>
        <v>0</v>
      </c>
      <c r="U135" s="105">
        <f t="shared" si="44"/>
        <v>0</v>
      </c>
      <c r="V135" s="105">
        <f t="shared" si="44"/>
        <v>0</v>
      </c>
      <c r="W135" s="105">
        <f t="shared" si="44"/>
        <v>0</v>
      </c>
      <c r="X135" s="106">
        <f t="shared" si="44"/>
        <v>0</v>
      </c>
    </row>
    <row r="136" spans="1:24" ht="15" thickBot="1" x14ac:dyDescent="0.35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  <c r="P136" s="103" cm="1">
        <f t="array" ref="P136:X138">+MMULT(_xlfn.ANCHORARRAY(T118),$P$135:$X$135)</f>
        <v>5.3117988010814868E-2</v>
      </c>
      <c r="Q136" s="103">
        <v>0</v>
      </c>
      <c r="R136" s="103">
        <v>0</v>
      </c>
      <c r="S136" s="103">
        <v>0</v>
      </c>
      <c r="T136" s="103">
        <v>0</v>
      </c>
      <c r="U136" s="103">
        <v>0</v>
      </c>
      <c r="V136" s="103">
        <v>0</v>
      </c>
      <c r="W136" s="103">
        <v>0</v>
      </c>
      <c r="X136" s="103">
        <v>0</v>
      </c>
    </row>
    <row r="137" spans="1:24" x14ac:dyDescent="0.3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0</v>
      </c>
      <c r="G137" s="2" cm="1">
        <f t="array" ref="G137">+$I$123*$G118*_xlfn.XLOOKUP($D137,_xlfn.ANCHORARRAY($I$118),$L$118:$L$120,,0)*_xlfn.XLOOKUP($D137,$D$131:$D$133,G$131:G$133,,0)</f>
        <v>0</v>
      </c>
      <c r="H137" s="2" cm="1">
        <f t="array" ref="H137">+$I$123*$G118*_xlfn.XLOOKUP($D137,_xlfn.ANCHORARRAY($I$118),$L$118:$L$120,,0)*_xlfn.XLOOKUP($D137,$D$131:$D$133,H$131:H$133,,0)</f>
        <v>0</v>
      </c>
      <c r="I137" s="2" cm="1">
        <f t="array" ref="I137">+$I$123*$G118*_xlfn.XLOOKUP($D137,_xlfn.ANCHORARRAY($I$118),$L$118:$L$120,,0)*_xlfn.XLOOKUP($D137,$D$131:$D$133,I$131:I$133,,0)</f>
        <v>0</v>
      </c>
      <c r="J137" s="2" cm="1">
        <f t="array" ref="J137">+$I$123*$G118*_xlfn.XLOOKUP($D137,_xlfn.ANCHORARRAY($I$118),$L$118:$L$120,,0)*_xlfn.XLOOKUP($D137,$D$131:$D$133,J$131:J$133,,0)</f>
        <v>0</v>
      </c>
      <c r="K137" s="2" cm="1">
        <f t="array" ref="K137">+$I$123*$G118*_xlfn.XLOOKUP($D137,_xlfn.ANCHORARRAY($I$118),$L$118:$L$120,,0)*_xlfn.XLOOKUP($D137,$D$131:$D$133,K$131:K$133,,0)</f>
        <v>0</v>
      </c>
      <c r="L137" s="2" cm="1">
        <f t="array" ref="L137">+$I$123*$G118*_xlfn.XLOOKUP($D137,_xlfn.ANCHORARRAY($I$118),$L$118:$L$120,,0)*_xlfn.XLOOKUP($D137,$D$131:$D$133,L$131:L$133,,0)</f>
        <v>0</v>
      </c>
      <c r="M137" s="3" cm="1">
        <f t="array" ref="M137">+$I$123*$G118*_xlfn.XLOOKUP($D137,_xlfn.ANCHORARRAY($I$118),$L$118:$L$120,,0)*_xlfn.XLOOKUP($D137,$D$131:$D$133,M$131:M$133,,0)</f>
        <v>0</v>
      </c>
      <c r="P137" s="101">
        <v>1.6450514952034988E-2</v>
      </c>
      <c r="Q137" s="101">
        <v>0</v>
      </c>
      <c r="R137" s="101">
        <v>0</v>
      </c>
      <c r="S137" s="101">
        <v>0</v>
      </c>
      <c r="T137" s="101">
        <v>0</v>
      </c>
      <c r="U137" s="101">
        <v>0</v>
      </c>
      <c r="V137" s="101">
        <v>0</v>
      </c>
      <c r="W137" s="101">
        <v>0</v>
      </c>
      <c r="X137" s="101">
        <v>0</v>
      </c>
    </row>
    <row r="138" spans="1:24" ht="15" thickBot="1" x14ac:dyDescent="0.35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5.3117988010814868E-2</v>
      </c>
      <c r="F138" s="6" cm="1">
        <f t="array" ref="F138">+$I$123*$G119*_xlfn.XLOOKUP($D138,_xlfn.ANCHORARRAY($I$118),$L$118:$L$120,,0)*_xlfn.XLOOKUP($D138,$D$131:$D$133,F$131:F$133,,0)</f>
        <v>0</v>
      </c>
      <c r="G138" s="6" cm="1">
        <f t="array" ref="G138">+$I$123*$G119*_xlfn.XLOOKUP($D138,_xlfn.ANCHORARRAY($I$118),$L$118:$L$120,,0)*_xlfn.XLOOKUP($D138,$D$131:$D$133,G$131:G$133,,0)</f>
        <v>0</v>
      </c>
      <c r="H138" s="6" cm="1">
        <f t="array" ref="H138">+$I$123*$G119*_xlfn.XLOOKUP($D138,_xlfn.ANCHORARRAY($I$118),$L$118:$L$120,,0)*_xlfn.XLOOKUP($D138,$D$131:$D$133,H$131:H$133,,0)</f>
        <v>0</v>
      </c>
      <c r="I138" s="6" cm="1">
        <f t="array" ref="I138">+$I$123*$G119*_xlfn.XLOOKUP($D138,_xlfn.ANCHORARRAY($I$118),$L$118:$L$120,,0)*_xlfn.XLOOKUP($D138,$D$131:$D$133,I$131:I$133,,0)</f>
        <v>0</v>
      </c>
      <c r="J138" s="6" cm="1">
        <f t="array" ref="J138">+$I$123*$G119*_xlfn.XLOOKUP($D138,_xlfn.ANCHORARRAY($I$118),$L$118:$L$120,,0)*_xlfn.XLOOKUP($D138,$D$131:$D$133,J$131:J$133,,0)</f>
        <v>0</v>
      </c>
      <c r="K138" s="6" cm="1">
        <f t="array" ref="K138">+$I$123*$G119*_xlfn.XLOOKUP($D138,_xlfn.ANCHORARRAY($I$118),$L$118:$L$120,,0)*_xlfn.XLOOKUP($D138,$D$131:$D$133,K$131:K$133,,0)</f>
        <v>0</v>
      </c>
      <c r="L138" s="6" cm="1">
        <f t="array" ref="L138">+$I$123*$G119*_xlfn.XLOOKUP($D138,_xlfn.ANCHORARRAY($I$118),$L$118:$L$120,,0)*_xlfn.XLOOKUP($D138,$D$131:$D$133,L$131:L$133,,0)</f>
        <v>0</v>
      </c>
      <c r="M138" s="7" cm="1">
        <f t="array" ref="M138">+$I$123*$G119*_xlfn.XLOOKUP($D138,_xlfn.ANCHORARRAY($I$118),$L$118:$L$120,,0)*_xlfn.XLOOKUP($D138,$D$131:$D$133,M$131:M$133,,0)</f>
        <v>0</v>
      </c>
      <c r="N138" s="18"/>
      <c r="P138" s="101">
        <v>4.8382119392902406E-2</v>
      </c>
      <c r="Q138" s="101">
        <v>0</v>
      </c>
      <c r="R138" s="101">
        <v>0</v>
      </c>
      <c r="S138" s="101">
        <v>0</v>
      </c>
      <c r="T138" s="101">
        <v>0</v>
      </c>
      <c r="U138" s="101">
        <v>0</v>
      </c>
      <c r="V138" s="101">
        <v>0</v>
      </c>
      <c r="W138" s="101">
        <v>0</v>
      </c>
      <c r="X138" s="101">
        <v>0</v>
      </c>
    </row>
    <row r="139" spans="1:24" ht="15" thickBot="1" x14ac:dyDescent="0.35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6.4184349097085175E-2</v>
      </c>
      <c r="F139" s="6" cm="1">
        <f t="array" ref="F139">+$I$123*$G120*_xlfn.XLOOKUP($D139,_xlfn.ANCHORARRAY($I$118),$L$118:$L$120,,0)*_xlfn.XLOOKUP($D139,$D$131:$D$133,F$131:F$133,,0)</f>
        <v>0</v>
      </c>
      <c r="G139" s="6" cm="1">
        <f t="array" ref="G139">+$I$123*$G120*_xlfn.XLOOKUP($D139,_xlfn.ANCHORARRAY($I$118),$L$118:$L$120,,0)*_xlfn.XLOOKUP($D139,$D$131:$D$133,G$131:G$133,,0)</f>
        <v>0</v>
      </c>
      <c r="H139" s="6" cm="1">
        <f t="array" ref="H139">+$I$123*$G120*_xlfn.XLOOKUP($D139,_xlfn.ANCHORARRAY($I$118),$L$118:$L$120,,0)*_xlfn.XLOOKUP($D139,$D$131:$D$133,H$131:H$133,,0)</f>
        <v>0</v>
      </c>
      <c r="I139" s="6" cm="1">
        <f t="array" ref="I139">+$I$123*$G120*_xlfn.XLOOKUP($D139,_xlfn.ANCHORARRAY($I$118),$L$118:$L$120,,0)*_xlfn.XLOOKUP($D139,$D$131:$D$133,I$131:I$133,,0)</f>
        <v>0</v>
      </c>
      <c r="J139" s="6" cm="1">
        <f t="array" ref="J139">+$I$123*$G120*_xlfn.XLOOKUP($D139,_xlfn.ANCHORARRAY($I$118),$L$118:$L$120,,0)*_xlfn.XLOOKUP($D139,$D$131:$D$133,J$131:J$133,,0)</f>
        <v>0</v>
      </c>
      <c r="K139" s="6" cm="1">
        <f t="array" ref="K139">+$I$123*$G120*_xlfn.XLOOKUP($D139,_xlfn.ANCHORARRAY($I$118),$L$118:$L$120,,0)*_xlfn.XLOOKUP($D139,$D$131:$D$133,K$131:K$133,,0)</f>
        <v>0</v>
      </c>
      <c r="L139" s="6" cm="1">
        <f t="array" ref="L139">+$I$123*$G120*_xlfn.XLOOKUP($D139,_xlfn.ANCHORARRAY($I$118),$L$118:$L$120,,0)*_xlfn.XLOOKUP($D139,$D$131:$D$133,L$131:L$133,,0)</f>
        <v>0</v>
      </c>
      <c r="M139" s="7" cm="1">
        <f t="array" ref="M139">+$I$123*$G120*_xlfn.XLOOKUP($D139,_xlfn.ANCHORARRAY($I$118),$L$118:$L$120,,0)*_xlfn.XLOOKUP($D139,$D$131:$D$133,M$131:M$133,,0)</f>
        <v>0</v>
      </c>
      <c r="N139" s="18"/>
      <c r="O139" s="104">
        <f>+$L120*$I$123</f>
        <v>1</v>
      </c>
      <c r="P139" s="105">
        <f t="shared" ref="P139:X139" si="45">+$O139*E133</f>
        <v>0.20968999529911514</v>
      </c>
      <c r="Q139" s="105">
        <f t="shared" si="45"/>
        <v>0</v>
      </c>
      <c r="R139" s="105">
        <f t="shared" si="45"/>
        <v>0</v>
      </c>
      <c r="S139" s="105">
        <f t="shared" si="45"/>
        <v>0</v>
      </c>
      <c r="T139" s="105">
        <f t="shared" si="45"/>
        <v>0</v>
      </c>
      <c r="U139" s="105">
        <f t="shared" si="45"/>
        <v>0</v>
      </c>
      <c r="V139" s="105">
        <f t="shared" si="45"/>
        <v>0</v>
      </c>
      <c r="W139" s="105">
        <f t="shared" si="45"/>
        <v>0</v>
      </c>
      <c r="X139" s="106">
        <f t="shared" si="45"/>
        <v>0</v>
      </c>
    </row>
    <row r="140" spans="1:24" x14ac:dyDescent="0.3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0.60982257452126953</v>
      </c>
      <c r="F140" s="6" cm="1">
        <f t="array" ref="F140">+$I$123*$G121*_xlfn.XLOOKUP($D140,_xlfn.ANCHORARRAY($I$118),$L$118:$L$120,,0)*_xlfn.XLOOKUP($D140,$D$131:$D$133,F$131:F$133,,0)</f>
        <v>3.5381516531013978E-2</v>
      </c>
      <c r="G140" s="6" cm="1">
        <f t="array" ref="G140">+$I$123*$G121*_xlfn.XLOOKUP($D140,_xlfn.ANCHORARRAY($I$118),$L$118:$L$120,,0)*_xlfn.XLOOKUP($D140,$D$131:$D$133,G$131:G$133,,0)</f>
        <v>0.13855927894180339</v>
      </c>
      <c r="H140" s="6" cm="1">
        <f t="array" ref="H140">+$I$123*$G121*_xlfn.XLOOKUP($D140,_xlfn.ANCHORARRAY($I$118),$L$118:$L$120,,0)*_xlfn.XLOOKUP($D140,$D$131:$D$133,H$131:H$133,,0)</f>
        <v>2.0860981775308895E-3</v>
      </c>
      <c r="I140" s="6" cm="1">
        <f t="array" ref="I140">+$I$123*$G121*_xlfn.XLOOKUP($D140,_xlfn.ANCHORARRAY($I$118),$L$118:$L$120,,0)*_xlfn.XLOOKUP($D140,$D$131:$D$133,I$131:I$133,,0)</f>
        <v>0</v>
      </c>
      <c r="J140" s="6" cm="1">
        <f t="array" ref="J140">+$I$123*$G121*_xlfn.XLOOKUP($D140,_xlfn.ANCHORARRAY($I$118),$L$118:$L$120,,0)*_xlfn.XLOOKUP($D140,$D$131:$D$133,J$131:J$133,,0)</f>
        <v>0.18261546678365512</v>
      </c>
      <c r="K140" s="6" cm="1">
        <f t="array" ref="K140">+$I$123*$G121*_xlfn.XLOOKUP($D140,_xlfn.ANCHORARRAY($I$118),$L$118:$L$120,,0)*_xlfn.XLOOKUP($D140,$D$131:$D$133,K$131:K$133,,0)</f>
        <v>1.1573447253231742E-2</v>
      </c>
      <c r="L140" s="6" cm="1">
        <f t="array" ref="L140">+$I$123*$G121*_xlfn.XLOOKUP($D140,_xlfn.ANCHORARRAY($I$118),$L$118:$L$120,,0)*_xlfn.XLOOKUP($D140,$D$131:$D$133,L$131:L$133,,0)</f>
        <v>0.17784289559012001</v>
      </c>
      <c r="M140" s="7" cm="1">
        <f t="array" ref="M140">+$I$123*$G121*_xlfn.XLOOKUP($D140,_xlfn.ANCHORARRAY($I$118),$L$118:$L$120,,0)*_xlfn.XLOOKUP($D140,$D$131:$D$133,M$131:M$133,,0)</f>
        <v>5.8596373767437468E-2</v>
      </c>
      <c r="N140" s="18"/>
      <c r="P140" s="103" cm="1">
        <f t="array" ref="P140:X142">+MMULT(_xlfn.ANCHORARRAY(U118),$P$139:$X$139)</f>
        <v>6.4184349097085175E-2</v>
      </c>
      <c r="Q140" s="103">
        <v>0</v>
      </c>
      <c r="R140" s="103">
        <v>0</v>
      </c>
      <c r="S140" s="103">
        <v>0</v>
      </c>
      <c r="T140" s="103">
        <v>0</v>
      </c>
      <c r="U140" s="103">
        <v>0</v>
      </c>
      <c r="V140" s="103">
        <v>0</v>
      </c>
      <c r="W140" s="103">
        <v>0</v>
      </c>
      <c r="X140" s="103">
        <v>0</v>
      </c>
    </row>
    <row r="141" spans="1:24" x14ac:dyDescent="0.3">
      <c r="C141" s="20" t="s">
        <v>10</v>
      </c>
      <c r="D141" s="25" t="str">
        <f t="shared" ref="D141:D145" si="46">+D138</f>
        <v>Ind</v>
      </c>
      <c r="E141" s="5" cm="1">
        <f t="array" ref="E141">+$I$123*$G122*_xlfn.XLOOKUP($D141,_xlfn.ANCHORARRAY($I$118),$L$118:$L$120,,0)*_xlfn.XLOOKUP($D141,$D$131:$D$133,E$131:E$133,,0)</f>
        <v>1.6450514952034988E-2</v>
      </c>
      <c r="F141" s="6" cm="1">
        <f t="array" ref="F141">+$I$123*$G122*_xlfn.XLOOKUP($D141,_xlfn.ANCHORARRAY($I$118),$L$118:$L$120,,0)*_xlfn.XLOOKUP($D141,$D$131:$D$133,F$131:F$133,,0)</f>
        <v>0</v>
      </c>
      <c r="G141" s="6" cm="1">
        <f t="array" ref="G141">+$I$123*$G122*_xlfn.XLOOKUP($D141,_xlfn.ANCHORARRAY($I$118),$L$118:$L$120,,0)*_xlfn.XLOOKUP($D141,$D$131:$D$133,G$131:G$133,,0)</f>
        <v>0</v>
      </c>
      <c r="H141" s="6" cm="1">
        <f t="array" ref="H141">+$I$123*$G122*_xlfn.XLOOKUP($D141,_xlfn.ANCHORARRAY($I$118),$L$118:$L$120,,0)*_xlfn.XLOOKUP($D141,$D$131:$D$133,H$131:H$133,,0)</f>
        <v>0</v>
      </c>
      <c r="I141" s="6" cm="1">
        <f t="array" ref="I141">+$I$123*$G122*_xlfn.XLOOKUP($D141,_xlfn.ANCHORARRAY($I$118),$L$118:$L$120,,0)*_xlfn.XLOOKUP($D141,$D$131:$D$133,I$131:I$133,,0)</f>
        <v>0</v>
      </c>
      <c r="J141" s="6" cm="1">
        <f t="array" ref="J141">+$I$123*$G122*_xlfn.XLOOKUP($D141,_xlfn.ANCHORARRAY($I$118),$L$118:$L$120,,0)*_xlfn.XLOOKUP($D141,$D$131:$D$133,J$131:J$133,,0)</f>
        <v>0</v>
      </c>
      <c r="K141" s="6" cm="1">
        <f t="array" ref="K141">+$I$123*$G122*_xlfn.XLOOKUP($D141,_xlfn.ANCHORARRAY($I$118),$L$118:$L$120,,0)*_xlfn.XLOOKUP($D141,$D$131:$D$133,K$131:K$133,,0)</f>
        <v>0</v>
      </c>
      <c r="L141" s="6" cm="1">
        <f t="array" ref="L141">+$I$123*$G122*_xlfn.XLOOKUP($D141,_xlfn.ANCHORARRAY($I$118),$L$118:$L$120,,0)*_xlfn.XLOOKUP($D141,$D$131:$D$133,L$131:L$133,,0)</f>
        <v>0</v>
      </c>
      <c r="M141" s="7" cm="1">
        <f t="array" ref="M141">+$I$123*$G122*_xlfn.XLOOKUP($D141,_xlfn.ANCHORARRAY($I$118),$L$118:$L$120,,0)*_xlfn.XLOOKUP($D141,$D$131:$D$133,M$131:M$133,,0)</f>
        <v>0</v>
      </c>
      <c r="N141" s="18"/>
      <c r="P141" s="101">
        <v>7.0825505995623095E-2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</row>
    <row r="142" spans="1:24" x14ac:dyDescent="0.3">
      <c r="C142" s="20" t="s">
        <v>10</v>
      </c>
      <c r="D142" s="25" t="str">
        <f t="shared" si="46"/>
        <v>Serv</v>
      </c>
      <c r="E142" s="5" cm="1">
        <f t="array" ref="E142">+$I$123*$G123*_xlfn.XLOOKUP($D142,_xlfn.ANCHORARRAY($I$118),$L$118:$L$120,,0)*_xlfn.XLOOKUP($D142,$D$131:$D$133,E$131:E$133,,0)</f>
        <v>7.0825505995623095E-2</v>
      </c>
      <c r="F142" s="6" cm="1">
        <f t="array" ref="F142">+$I$123*$G123*_xlfn.XLOOKUP($D142,_xlfn.ANCHORARRAY($I$118),$L$118:$L$120,,0)*_xlfn.XLOOKUP($D142,$D$131:$D$133,F$131:F$133,,0)</f>
        <v>0</v>
      </c>
      <c r="G142" s="6" cm="1">
        <f t="array" ref="G142">+$I$123*$G123*_xlfn.XLOOKUP($D142,_xlfn.ANCHORARRAY($I$118),$L$118:$L$120,,0)*_xlfn.XLOOKUP($D142,$D$131:$D$133,G$131:G$133,,0)</f>
        <v>0</v>
      </c>
      <c r="H142" s="6" cm="1">
        <f t="array" ref="H142">+$I$123*$G123*_xlfn.XLOOKUP($D142,_xlfn.ANCHORARRAY($I$118),$L$118:$L$120,,0)*_xlfn.XLOOKUP($D142,$D$131:$D$133,H$131:H$133,,0)</f>
        <v>0</v>
      </c>
      <c r="I142" s="6" cm="1">
        <f t="array" ref="I142">+$I$123*$G123*_xlfn.XLOOKUP($D142,_xlfn.ANCHORARRAY($I$118),$L$118:$L$120,,0)*_xlfn.XLOOKUP($D142,$D$131:$D$133,I$131:I$133,,0)</f>
        <v>0</v>
      </c>
      <c r="J142" s="6" cm="1">
        <f t="array" ref="J142">+$I$123*$G123*_xlfn.XLOOKUP($D142,_xlfn.ANCHORARRAY($I$118),$L$118:$L$120,,0)*_xlfn.XLOOKUP($D142,$D$131:$D$133,J$131:J$133,,0)</f>
        <v>0</v>
      </c>
      <c r="K142" s="6" cm="1">
        <f t="array" ref="K142">+$I$123*$G123*_xlfn.XLOOKUP($D142,_xlfn.ANCHORARRAY($I$118),$L$118:$L$120,,0)*_xlfn.XLOOKUP($D142,$D$131:$D$133,K$131:K$133,,0)</f>
        <v>0</v>
      </c>
      <c r="L142" s="6" cm="1">
        <f t="array" ref="L142">+$I$123*$G123*_xlfn.XLOOKUP($D142,_xlfn.ANCHORARRAY($I$118),$L$118:$L$120,,0)*_xlfn.XLOOKUP($D142,$D$131:$D$133,L$131:L$133,,0)</f>
        <v>0</v>
      </c>
      <c r="M142" s="7" cm="1">
        <f t="array" ref="M142">+$I$123*$G123*_xlfn.XLOOKUP($D142,_xlfn.ANCHORARRAY($I$118),$L$118:$L$120,,0)*_xlfn.XLOOKUP($D142,$D$131:$D$133,M$131:M$133,,0)</f>
        <v>0</v>
      </c>
      <c r="N142" s="18"/>
      <c r="P142" s="101">
        <v>7.468014020640687E-2</v>
      </c>
      <c r="Q142" s="101">
        <v>0</v>
      </c>
      <c r="R142" s="101">
        <v>0</v>
      </c>
      <c r="S142" s="101">
        <v>0</v>
      </c>
      <c r="T142" s="101">
        <v>0</v>
      </c>
      <c r="U142" s="101">
        <v>0</v>
      </c>
      <c r="V142" s="101">
        <v>0</v>
      </c>
      <c r="W142" s="101">
        <v>0</v>
      </c>
      <c r="X142" s="101">
        <v>0</v>
      </c>
    </row>
    <row r="143" spans="1:24" x14ac:dyDescent="0.3">
      <c r="C143" s="20" t="s">
        <v>11</v>
      </c>
      <c r="D143" s="25" t="str">
        <f t="shared" si="46"/>
        <v>Agr</v>
      </c>
      <c r="E143" s="5" cm="1">
        <f t="array" ref="E143">+$I$123*$G124*_xlfn.XLOOKUP($D143,_xlfn.ANCHORARRAY($I$118),$L$118:$L$120,,0)*_xlfn.XLOOKUP($D143,$D$131:$D$133,E$131:E$133,,0)</f>
        <v>0.55748499052461353</v>
      </c>
      <c r="F143" s="6" cm="1">
        <f t="array" ref="F143">+$I$123*$G124*_xlfn.XLOOKUP($D143,_xlfn.ANCHORARRAY($I$118),$L$118:$L$120,,0)*_xlfn.XLOOKUP($D143,$D$131:$D$133,F$131:F$133,,0)</f>
        <v>3.2344923314003717E-2</v>
      </c>
      <c r="G143" s="6" cm="1">
        <f t="array" ref="G143">+$I$123*$G124*_xlfn.XLOOKUP($D143,_xlfn.ANCHORARRAY($I$118),$L$118:$L$120,,0)*_xlfn.XLOOKUP($D143,$D$131:$D$133,G$131:G$133,,0)</f>
        <v>0.12666752845056309</v>
      </c>
      <c r="H143" s="6" cm="1">
        <f t="array" ref="H143">+$I$123*$G124*_xlfn.XLOOKUP($D143,_xlfn.ANCHORARRAY($I$118),$L$118:$L$120,,0)*_xlfn.XLOOKUP($D143,$D$131:$D$133,H$131:H$133,,0)</f>
        <v>1.9070603013461565E-3</v>
      </c>
      <c r="I143" s="6" cm="1">
        <f t="array" ref="I143">+$I$123*$G124*_xlfn.XLOOKUP($D143,_xlfn.ANCHORARRAY($I$118),$L$118:$L$120,,0)*_xlfn.XLOOKUP($D143,$D$131:$D$133,I$131:I$133,,0)</f>
        <v>0</v>
      </c>
      <c r="J143" s="6" cm="1">
        <f t="array" ref="J143">+$I$123*$G124*_xlfn.XLOOKUP($D143,_xlfn.ANCHORARRAY($I$118),$L$118:$L$120,,0)*_xlfn.XLOOKUP($D143,$D$131:$D$133,J$131:J$133,,0)</f>
        <v>0.1669426256472292</v>
      </c>
      <c r="K143" s="6" cm="1">
        <f t="array" ref="K143">+$I$123*$G124*_xlfn.XLOOKUP($D143,_xlfn.ANCHORARRAY($I$118),$L$118:$L$120,,0)*_xlfn.XLOOKUP($D143,$D$131:$D$133,K$131:K$133,,0)</f>
        <v>1.0580164464016537E-2</v>
      </c>
      <c r="L143" s="6" cm="1">
        <f t="array" ref="L143">+$I$123*$G124*_xlfn.XLOOKUP($D143,_xlfn.ANCHORARRAY($I$118),$L$118:$L$120,,0)*_xlfn.XLOOKUP($D143,$D$131:$D$133,L$131:L$133,,0)</f>
        <v>0.16257965694490684</v>
      </c>
      <c r="M143" s="7" cm="1">
        <f t="array" ref="M143">+$I$123*$G124*_xlfn.XLOOKUP($D143,_xlfn.ANCHORARRAY($I$118),$L$118:$L$120,,0)*_xlfn.XLOOKUP($D143,$D$131:$D$133,M$131:M$133,,0)</f>
        <v>5.3567382119563092E-2</v>
      </c>
      <c r="N143" s="18"/>
    </row>
    <row r="144" spans="1:24" x14ac:dyDescent="0.3">
      <c r="C144" s="20" t="s">
        <v>11</v>
      </c>
      <c r="D144" s="25" t="str">
        <f t="shared" si="46"/>
        <v>Ind</v>
      </c>
      <c r="E144" s="5" cm="1">
        <f t="array" ref="E144">+$I$123*$G125*_xlfn.XLOOKUP($D144,_xlfn.ANCHORARRAY($I$118),$L$118:$L$120,,0)*_xlfn.XLOOKUP($D144,$D$131:$D$133,E$131:E$133,,0)</f>
        <v>4.8382119392902406E-2</v>
      </c>
      <c r="F144" s="6" cm="1">
        <f t="array" ref="F144">+$I$123*$G125*_xlfn.XLOOKUP($D144,_xlfn.ANCHORARRAY($I$118),$L$118:$L$120,,0)*_xlfn.XLOOKUP($D144,$D$131:$D$133,F$131:F$133,,0)</f>
        <v>0</v>
      </c>
      <c r="G144" s="6" cm="1">
        <f t="array" ref="G144">+$I$123*$G125*_xlfn.XLOOKUP($D144,_xlfn.ANCHORARRAY($I$118),$L$118:$L$120,,0)*_xlfn.XLOOKUP($D144,$D$131:$D$133,G$131:G$133,,0)</f>
        <v>0</v>
      </c>
      <c r="H144" s="6" cm="1">
        <f t="array" ref="H144">+$I$123*$G125*_xlfn.XLOOKUP($D144,_xlfn.ANCHORARRAY($I$118),$L$118:$L$120,,0)*_xlfn.XLOOKUP($D144,$D$131:$D$133,H$131:H$133,,0)</f>
        <v>0</v>
      </c>
      <c r="I144" s="6" cm="1">
        <f t="array" ref="I144">+$I$123*$G125*_xlfn.XLOOKUP($D144,_xlfn.ANCHORARRAY($I$118),$L$118:$L$120,,0)*_xlfn.XLOOKUP($D144,$D$131:$D$133,I$131:I$133,,0)</f>
        <v>0</v>
      </c>
      <c r="J144" s="6" cm="1">
        <f t="array" ref="J144">+$I$123*$G125*_xlfn.XLOOKUP($D144,_xlfn.ANCHORARRAY($I$118),$L$118:$L$120,,0)*_xlfn.XLOOKUP($D144,$D$131:$D$133,J$131:J$133,,0)</f>
        <v>0</v>
      </c>
      <c r="K144" s="6" cm="1">
        <f t="array" ref="K144">+$I$123*$G125*_xlfn.XLOOKUP($D144,_xlfn.ANCHORARRAY($I$118),$L$118:$L$120,,0)*_xlfn.XLOOKUP($D144,$D$131:$D$133,K$131:K$133,,0)</f>
        <v>0</v>
      </c>
      <c r="L144" s="6" cm="1">
        <f t="array" ref="L144">+$I$123*$G125*_xlfn.XLOOKUP($D144,_xlfn.ANCHORARRAY($I$118),$L$118:$L$120,,0)*_xlfn.XLOOKUP($D144,$D$131:$D$133,L$131:L$133,,0)</f>
        <v>0</v>
      </c>
      <c r="M144" s="7" cm="1">
        <f t="array" ref="M144">+$I$123*$G125*_xlfn.XLOOKUP($D144,_xlfn.ANCHORARRAY($I$118),$L$118:$L$120,,0)*_xlfn.XLOOKUP($D144,$D$131:$D$133,M$131:M$133,,0)</f>
        <v>0</v>
      </c>
      <c r="N144" s="18"/>
    </row>
    <row r="145" spans="3:23" x14ac:dyDescent="0.3">
      <c r="C145" s="20" t="s">
        <v>11</v>
      </c>
      <c r="D145" s="25" t="str">
        <f t="shared" si="46"/>
        <v>Serv</v>
      </c>
      <c r="E145" s="9" cm="1">
        <f t="array" ref="E145">+$I$123*$G126*_xlfn.XLOOKUP($D145,_xlfn.ANCHORARRAY($I$118),$L$118:$L$120,,0)*_xlfn.XLOOKUP($D145,$D$131:$D$133,E$131:E$133,,0)</f>
        <v>7.468014020640687E-2</v>
      </c>
      <c r="F145" s="10" cm="1">
        <f t="array" ref="F145">+$I$123*$G126*_xlfn.XLOOKUP($D145,_xlfn.ANCHORARRAY($I$118),$L$118:$L$120,,0)*_xlfn.XLOOKUP($D145,$D$131:$D$133,F$131:F$133,,0)</f>
        <v>0</v>
      </c>
      <c r="G145" s="10" cm="1">
        <f t="array" ref="G145">+$I$123*$G126*_xlfn.XLOOKUP($D145,_xlfn.ANCHORARRAY($I$118),$L$118:$L$120,,0)*_xlfn.XLOOKUP($D145,$D$131:$D$133,G$131:G$133,,0)</f>
        <v>0</v>
      </c>
      <c r="H145" s="10" cm="1">
        <f t="array" ref="H145">+$I$123*$G126*_xlfn.XLOOKUP($D145,_xlfn.ANCHORARRAY($I$118),$L$118:$L$120,,0)*_xlfn.XLOOKUP($D145,$D$131:$D$133,H$131:H$133,,0)</f>
        <v>0</v>
      </c>
      <c r="I145" s="10" cm="1">
        <f t="array" ref="I145">+$I$123*$G126*_xlfn.XLOOKUP($D145,_xlfn.ANCHORARRAY($I$118),$L$118:$L$120,,0)*_xlfn.XLOOKUP($D145,$D$131:$D$133,I$131:I$133,,0)</f>
        <v>0</v>
      </c>
      <c r="J145" s="10" cm="1">
        <f t="array" ref="J145">+$I$123*$G126*_xlfn.XLOOKUP($D145,_xlfn.ANCHORARRAY($I$118),$L$118:$L$120,,0)*_xlfn.XLOOKUP($D145,$D$131:$D$133,J$131:J$133,,0)</f>
        <v>0</v>
      </c>
      <c r="K145" s="10" cm="1">
        <f t="array" ref="K145">+$I$123*$G126*_xlfn.XLOOKUP($D145,_xlfn.ANCHORARRAY($I$118),$L$118:$L$120,,0)*_xlfn.XLOOKUP($D145,$D$131:$D$133,K$131:K$133,,0)</f>
        <v>0</v>
      </c>
      <c r="L145" s="10" cm="1">
        <f t="array" ref="L145">+$I$123*$G126*_xlfn.XLOOKUP($D145,_xlfn.ANCHORARRAY($I$118),$L$118:$L$120,,0)*_xlfn.XLOOKUP($D145,$D$131:$D$133,L$131:L$133,,0)</f>
        <v>0</v>
      </c>
      <c r="M145" s="11" cm="1">
        <f t="array" ref="M145">+$I$123*$G126*_xlfn.XLOOKUP($D145,_xlfn.ANCHORARRAY($I$118),$L$118:$L$120,,0)*_xlfn.XLOOKUP($D145,$D$131:$D$133,M$131:M$133,,0)</f>
        <v>0</v>
      </c>
      <c r="N145" s="18"/>
    </row>
    <row r="146" spans="3:23" x14ac:dyDescent="0.3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3" x14ac:dyDescent="0.3">
      <c r="O147" s="19"/>
    </row>
    <row r="148" spans="3:23" ht="15" thickBot="1" x14ac:dyDescent="0.35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3" ht="15" thickBot="1" x14ac:dyDescent="0.35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3" x14ac:dyDescent="0.3">
      <c r="C150" s="20" t="s">
        <v>1</v>
      </c>
      <c r="D150" s="28" t="s">
        <v>51</v>
      </c>
      <c r="E150" s="1">
        <f>+MIN(E78,E94)+E137</f>
        <v>8</v>
      </c>
      <c r="F150" s="2">
        <f t="shared" ref="F150:M150" si="47">+MIN(F78,F94)+F137</f>
        <v>4</v>
      </c>
      <c r="G150" s="2">
        <f t="shared" si="47"/>
        <v>8</v>
      </c>
      <c r="H150" s="2">
        <f t="shared" si="47"/>
        <v>0.8</v>
      </c>
      <c r="I150" s="2">
        <f t="shared" si="47"/>
        <v>0</v>
      </c>
      <c r="J150" s="2">
        <f t="shared" si="47"/>
        <v>6.4</v>
      </c>
      <c r="K150" s="2">
        <f t="shared" si="47"/>
        <v>2.4000000000000004</v>
      </c>
      <c r="L150" s="2">
        <f t="shared" si="47"/>
        <v>5.6000000000000005</v>
      </c>
      <c r="M150" s="3">
        <f t="shared" si="47"/>
        <v>1.6</v>
      </c>
      <c r="N150" s="19">
        <f>+E150-E5</f>
        <v>-2</v>
      </c>
      <c r="O150" s="19">
        <f t="shared" ref="O150:V158" si="48">+F150-F5</f>
        <v>-1</v>
      </c>
      <c r="P150" s="19">
        <f t="shared" si="48"/>
        <v>-2</v>
      </c>
      <c r="Q150" s="19">
        <f t="shared" si="48"/>
        <v>-0.19999999999999996</v>
      </c>
      <c r="R150" s="19">
        <f t="shared" si="48"/>
        <v>0</v>
      </c>
      <c r="S150" s="19">
        <f t="shared" si="48"/>
        <v>-1.5999999999999996</v>
      </c>
      <c r="T150" s="19">
        <f t="shared" si="48"/>
        <v>-0.59999999999999964</v>
      </c>
      <c r="U150" s="19">
        <f t="shared" si="48"/>
        <v>-1.3999999999999995</v>
      </c>
      <c r="V150" s="19">
        <f t="shared" si="48"/>
        <v>-0.39999999999999991</v>
      </c>
      <c r="W150" s="16">
        <f>+SUM(N150:V150)</f>
        <v>-9.1999999999999993</v>
      </c>
    </row>
    <row r="151" spans="3:23" x14ac:dyDescent="0.3">
      <c r="C151" s="20" t="s">
        <v>1</v>
      </c>
      <c r="D151" s="25" t="s">
        <v>52</v>
      </c>
      <c r="E151" s="5">
        <f t="shared" ref="E151:M158" si="49">+MIN(E79,E95)+E138</f>
        <v>7.1563050452184944</v>
      </c>
      <c r="F151" s="6">
        <f t="shared" si="49"/>
        <v>2.4406358639070107</v>
      </c>
      <c r="G151" s="6">
        <f t="shared" si="49"/>
        <v>7.4387041266531302</v>
      </c>
      <c r="H151" s="6">
        <f t="shared" si="49"/>
        <v>3.2159726339155084</v>
      </c>
      <c r="I151" s="6">
        <f t="shared" si="49"/>
        <v>1.5904334679227361</v>
      </c>
      <c r="J151" s="6">
        <f t="shared" si="49"/>
        <v>8.4369476155386067</v>
      </c>
      <c r="K151" s="6">
        <f t="shared" si="49"/>
        <v>0.80738453723908288</v>
      </c>
      <c r="L151" s="6">
        <f t="shared" si="49"/>
        <v>3.3945271728771589</v>
      </c>
      <c r="M151" s="7">
        <f t="shared" si="49"/>
        <v>5.9925731456045019</v>
      </c>
      <c r="N151" s="19">
        <f t="shared" ref="N151:N158" si="50">+E151-E6</f>
        <v>-0.84369495478150558</v>
      </c>
      <c r="O151" s="19">
        <f t="shared" si="48"/>
        <v>-0.55936413609298929</v>
      </c>
      <c r="P151" s="19">
        <f t="shared" si="48"/>
        <v>-1.5612958733468698</v>
      </c>
      <c r="Q151" s="19">
        <f t="shared" si="48"/>
        <v>-0.78402736608449164</v>
      </c>
      <c r="R151" s="19">
        <f t="shared" si="48"/>
        <v>-0.4095665320772639</v>
      </c>
      <c r="S151" s="19">
        <f t="shared" si="48"/>
        <v>-1.5630523844613933</v>
      </c>
      <c r="T151" s="19">
        <f t="shared" si="48"/>
        <v>-0.19261546276091712</v>
      </c>
      <c r="U151" s="19">
        <f t="shared" si="48"/>
        <v>-0.60547282712284112</v>
      </c>
      <c r="V151" s="19">
        <f t="shared" si="48"/>
        <v>-1.0074268543954981</v>
      </c>
      <c r="W151" s="16">
        <f t="shared" ref="W151:W158" si="51">+SUM(N151:V151)</f>
        <v>-7.5265163911237707</v>
      </c>
    </row>
    <row r="152" spans="3:23" x14ac:dyDescent="0.3">
      <c r="C152" s="20" t="s">
        <v>1</v>
      </c>
      <c r="D152" s="25" t="s">
        <v>53</v>
      </c>
      <c r="E152" s="5">
        <f t="shared" si="49"/>
        <v>6.4184349097085175E-2</v>
      </c>
      <c r="F152" s="6">
        <f t="shared" si="49"/>
        <v>0</v>
      </c>
      <c r="G152" s="6">
        <f t="shared" si="49"/>
        <v>0</v>
      </c>
      <c r="H152" s="6">
        <f t="shared" si="49"/>
        <v>5.6279521093521403</v>
      </c>
      <c r="I152" s="6">
        <f t="shared" si="49"/>
        <v>3.1808669358454722</v>
      </c>
      <c r="J152" s="6">
        <f t="shared" si="49"/>
        <v>3.3747790462154423</v>
      </c>
      <c r="K152" s="6">
        <f t="shared" si="49"/>
        <v>5.6516917606735806</v>
      </c>
      <c r="L152" s="6">
        <f t="shared" si="49"/>
        <v>3.3945271728771589</v>
      </c>
      <c r="M152" s="7">
        <f t="shared" si="49"/>
        <v>5.9925731456045019</v>
      </c>
      <c r="N152" s="19">
        <f t="shared" si="50"/>
        <v>6.4184349097085175E-2</v>
      </c>
      <c r="O152" s="19">
        <f t="shared" si="48"/>
        <v>0</v>
      </c>
      <c r="P152" s="19">
        <f t="shared" si="48"/>
        <v>0</v>
      </c>
      <c r="Q152" s="19">
        <f t="shared" si="48"/>
        <v>-1.3720478906478597</v>
      </c>
      <c r="R152" s="19">
        <f t="shared" si="48"/>
        <v>-0.8191330641545278</v>
      </c>
      <c r="S152" s="19">
        <f t="shared" si="48"/>
        <v>-0.62522095378455766</v>
      </c>
      <c r="T152" s="19">
        <f t="shared" si="48"/>
        <v>-1.3483082393264194</v>
      </c>
      <c r="U152" s="19">
        <f t="shared" si="48"/>
        <v>-0.60547282712284112</v>
      </c>
      <c r="V152" s="19">
        <f t="shared" si="48"/>
        <v>-1.0074268543954981</v>
      </c>
      <c r="W152" s="16">
        <f t="shared" si="51"/>
        <v>-5.7134254803346183</v>
      </c>
    </row>
    <row r="153" spans="3:23" x14ac:dyDescent="0.3">
      <c r="C153" s="20" t="s">
        <v>10</v>
      </c>
      <c r="D153" s="25" t="str">
        <f>+D150</f>
        <v>Agr</v>
      </c>
      <c r="E153" s="5">
        <f t="shared" si="49"/>
        <v>8.6009080138799092</v>
      </c>
      <c r="F153" s="6">
        <f t="shared" si="49"/>
        <v>4.1031079563760313</v>
      </c>
      <c r="G153" s="6">
        <f t="shared" si="49"/>
        <v>3.4446500018987503</v>
      </c>
      <c r="H153" s="6">
        <f t="shared" si="49"/>
        <v>5.6300382075296715</v>
      </c>
      <c r="I153" s="6">
        <f t="shared" si="49"/>
        <v>7.9521673396136805</v>
      </c>
      <c r="J153" s="6">
        <f t="shared" si="49"/>
        <v>7.7758683207684012</v>
      </c>
      <c r="K153" s="6">
        <f t="shared" si="49"/>
        <v>8.0854188196440617</v>
      </c>
      <c r="L153" s="6">
        <f t="shared" si="49"/>
        <v>7.8155290345637276</v>
      </c>
      <c r="M153" s="7">
        <f t="shared" si="49"/>
        <v>7.7633332752589395</v>
      </c>
      <c r="N153" s="19">
        <f t="shared" si="50"/>
        <v>-0.39909198612009078</v>
      </c>
      <c r="O153" s="19">
        <f t="shared" si="48"/>
        <v>-0.89689204362396868</v>
      </c>
      <c r="P153" s="19">
        <f t="shared" si="48"/>
        <v>-0.55534999810124974</v>
      </c>
      <c r="Q153" s="19">
        <f t="shared" si="48"/>
        <v>-1.3699617924703285</v>
      </c>
      <c r="R153" s="19">
        <f t="shared" si="48"/>
        <v>-2.0478326603863195</v>
      </c>
      <c r="S153" s="19">
        <f t="shared" si="48"/>
        <v>-1.2241316792315988</v>
      </c>
      <c r="T153" s="19">
        <f t="shared" si="48"/>
        <v>-1.9145811803559383</v>
      </c>
      <c r="U153" s="19">
        <f t="shared" si="48"/>
        <v>-1.1844709654362724</v>
      </c>
      <c r="V153" s="19">
        <f t="shared" si="48"/>
        <v>-1.2366667247410605</v>
      </c>
      <c r="W153" s="16">
        <f t="shared" si="51"/>
        <v>-10.828979030466826</v>
      </c>
    </row>
    <row r="154" spans="3:23" x14ac:dyDescent="0.3">
      <c r="C154" s="20" t="s">
        <v>10</v>
      </c>
      <c r="D154" s="25" t="str">
        <f t="shared" ref="D154:D158" si="52">+D151</f>
        <v>Ind</v>
      </c>
      <c r="E154" s="5">
        <f t="shared" si="49"/>
        <v>3.6204665423806537</v>
      </c>
      <c r="F154" s="6">
        <f t="shared" si="49"/>
        <v>1.627090575938007</v>
      </c>
      <c r="G154" s="6">
        <f t="shared" si="49"/>
        <v>2.4795680422177098</v>
      </c>
      <c r="H154" s="6">
        <f t="shared" si="49"/>
        <v>4.8239589508732621</v>
      </c>
      <c r="I154" s="6">
        <f t="shared" si="49"/>
        <v>5.5665171377295772</v>
      </c>
      <c r="J154" s="6">
        <f t="shared" si="49"/>
        <v>3.3747790462154423</v>
      </c>
      <c r="K154" s="6">
        <f t="shared" si="49"/>
        <v>7.2664608351517463</v>
      </c>
      <c r="L154" s="6">
        <f t="shared" si="49"/>
        <v>1.6972635864385794</v>
      </c>
      <c r="M154" s="7">
        <f t="shared" si="49"/>
        <v>6.8486550235480026</v>
      </c>
      <c r="N154" s="19">
        <f t="shared" si="50"/>
        <v>-0.37953345761934631</v>
      </c>
      <c r="O154" s="19">
        <f t="shared" si="48"/>
        <v>-0.37290942406199301</v>
      </c>
      <c r="P154" s="19">
        <f t="shared" si="48"/>
        <v>-0.52043195778229023</v>
      </c>
      <c r="Q154" s="19">
        <f t="shared" si="48"/>
        <v>-1.1760410491267379</v>
      </c>
      <c r="R154" s="19">
        <f t="shared" si="48"/>
        <v>-1.4334828622704228</v>
      </c>
      <c r="S154" s="19">
        <f t="shared" si="48"/>
        <v>-0.62522095378455766</v>
      </c>
      <c r="T154" s="19">
        <f t="shared" si="48"/>
        <v>-1.7335391648482537</v>
      </c>
      <c r="U154" s="19">
        <f t="shared" si="48"/>
        <v>-0.30273641356142056</v>
      </c>
      <c r="V154" s="19">
        <f t="shared" si="48"/>
        <v>-1.1513449764519974</v>
      </c>
      <c r="W154" s="16">
        <f t="shared" si="51"/>
        <v>-7.6952402595070195</v>
      </c>
    </row>
    <row r="155" spans="3:23" x14ac:dyDescent="0.3">
      <c r="C155" s="20" t="s">
        <v>10</v>
      </c>
      <c r="D155" s="25" t="str">
        <f t="shared" si="52"/>
        <v>Serv</v>
      </c>
      <c r="E155" s="5">
        <f t="shared" si="49"/>
        <v>5.3982157989013828</v>
      </c>
      <c r="F155" s="6">
        <f t="shared" si="49"/>
        <v>4.0677264398450177</v>
      </c>
      <c r="G155" s="6">
        <f t="shared" si="49"/>
        <v>3.3060907229569469</v>
      </c>
      <c r="H155" s="6">
        <f t="shared" si="49"/>
        <v>0.80399315847887709</v>
      </c>
      <c r="I155" s="6">
        <f t="shared" si="49"/>
        <v>7.1569506056523124</v>
      </c>
      <c r="J155" s="6">
        <f t="shared" si="49"/>
        <v>1.6873895231077212</v>
      </c>
      <c r="K155" s="6">
        <f t="shared" si="49"/>
        <v>0.80738453723908288</v>
      </c>
      <c r="L155" s="6">
        <f t="shared" si="49"/>
        <v>5.0917907593157379</v>
      </c>
      <c r="M155" s="7">
        <f t="shared" si="49"/>
        <v>0.85608187794350032</v>
      </c>
      <c r="N155" s="19">
        <f t="shared" si="50"/>
        <v>-0.60178420109861719</v>
      </c>
      <c r="O155" s="19">
        <f t="shared" si="48"/>
        <v>-0.93227356015498231</v>
      </c>
      <c r="P155" s="19">
        <f t="shared" si="48"/>
        <v>-0.69390927704305305</v>
      </c>
      <c r="Q155" s="19">
        <f t="shared" si="48"/>
        <v>-0.19600684152112291</v>
      </c>
      <c r="R155" s="19">
        <f t="shared" si="48"/>
        <v>-1.8430493943476876</v>
      </c>
      <c r="S155" s="19">
        <f t="shared" si="48"/>
        <v>-0.31261047689227883</v>
      </c>
      <c r="T155" s="19">
        <f t="shared" si="48"/>
        <v>-0.19261546276091712</v>
      </c>
      <c r="U155" s="19">
        <f t="shared" si="48"/>
        <v>-0.90820924068426212</v>
      </c>
      <c r="V155" s="19">
        <f t="shared" si="48"/>
        <v>-0.14391812205649968</v>
      </c>
      <c r="W155" s="16">
        <f t="shared" si="51"/>
        <v>-5.8243765765594206</v>
      </c>
    </row>
    <row r="156" spans="3:23" x14ac:dyDescent="0.3">
      <c r="C156" s="20" t="s">
        <v>11</v>
      </c>
      <c r="D156" s="25" t="str">
        <f t="shared" si="52"/>
        <v>Agr</v>
      </c>
      <c r="E156" s="5">
        <f t="shared" si="49"/>
        <v>3.2211801369774933</v>
      </c>
      <c r="F156" s="6">
        <f t="shared" si="49"/>
        <v>8.1677978030040386</v>
      </c>
      <c r="G156" s="6">
        <f t="shared" si="49"/>
        <v>6.7388489743644566</v>
      </c>
      <c r="H156" s="6">
        <f t="shared" si="49"/>
        <v>7.2378454866112403</v>
      </c>
      <c r="I156" s="6">
        <f t="shared" si="49"/>
        <v>7.9521673396136805</v>
      </c>
      <c r="J156" s="6">
        <f t="shared" si="49"/>
        <v>0.1669426256472292</v>
      </c>
      <c r="K156" s="6">
        <f t="shared" si="49"/>
        <v>5.6622719251375973</v>
      </c>
      <c r="L156" s="6">
        <f t="shared" si="49"/>
        <v>7.8002657959185138</v>
      </c>
      <c r="M156" s="7">
        <f t="shared" si="49"/>
        <v>6.9022224056675654</v>
      </c>
      <c r="N156" s="19">
        <f t="shared" si="50"/>
        <v>0.22118013697749328</v>
      </c>
      <c r="O156" s="19">
        <f t="shared" si="48"/>
        <v>-1.8322021969959614</v>
      </c>
      <c r="P156" s="19">
        <f t="shared" si="48"/>
        <v>-1.2611510256355434</v>
      </c>
      <c r="Q156" s="19">
        <f t="shared" si="48"/>
        <v>-1.7621545133887597</v>
      </c>
      <c r="R156" s="19">
        <f t="shared" si="48"/>
        <v>-2.0478326603863195</v>
      </c>
      <c r="S156" s="19">
        <f t="shared" si="48"/>
        <v>0.1669426256472292</v>
      </c>
      <c r="T156" s="19">
        <f t="shared" si="48"/>
        <v>-1.3377280748624027</v>
      </c>
      <c r="U156" s="19">
        <f t="shared" si="48"/>
        <v>-1.1997342040814862</v>
      </c>
      <c r="V156" s="19">
        <f t="shared" si="48"/>
        <v>-1.0977775943324346</v>
      </c>
      <c r="W156" s="16">
        <f t="shared" si="51"/>
        <v>-10.150457507058185</v>
      </c>
    </row>
    <row r="157" spans="3:23" x14ac:dyDescent="0.3">
      <c r="C157" s="20" t="s">
        <v>11</v>
      </c>
      <c r="D157" s="25" t="str">
        <f t="shared" si="52"/>
        <v>Ind</v>
      </c>
      <c r="E157" s="5">
        <f t="shared" si="49"/>
        <v>0.93628050154386233</v>
      </c>
      <c r="F157" s="6">
        <f t="shared" si="49"/>
        <v>6.508362303752028</v>
      </c>
      <c r="G157" s="6">
        <f t="shared" si="49"/>
        <v>0</v>
      </c>
      <c r="H157" s="6">
        <f t="shared" si="49"/>
        <v>7.235938426309894</v>
      </c>
      <c r="I157" s="6">
        <f t="shared" si="49"/>
        <v>0</v>
      </c>
      <c r="J157" s="6">
        <f t="shared" si="49"/>
        <v>0</v>
      </c>
      <c r="K157" s="6">
        <f t="shared" si="49"/>
        <v>6.459076297912663</v>
      </c>
      <c r="L157" s="6">
        <f t="shared" si="49"/>
        <v>8.4863179321928968</v>
      </c>
      <c r="M157" s="7">
        <f t="shared" si="49"/>
        <v>0.85608187794350032</v>
      </c>
      <c r="N157" s="19">
        <f t="shared" si="50"/>
        <v>-6.3719498456137669E-2</v>
      </c>
      <c r="O157" s="19">
        <f t="shared" si="48"/>
        <v>-1.491637696247972</v>
      </c>
      <c r="P157" s="19">
        <f t="shared" si="48"/>
        <v>0</v>
      </c>
      <c r="Q157" s="19">
        <f t="shared" si="48"/>
        <v>-1.764061573690106</v>
      </c>
      <c r="R157" s="19">
        <f t="shared" si="48"/>
        <v>0</v>
      </c>
      <c r="S157" s="19">
        <f t="shared" si="48"/>
        <v>0</v>
      </c>
      <c r="T157" s="19">
        <f t="shared" si="48"/>
        <v>-1.540923702087337</v>
      </c>
      <c r="U157" s="19">
        <f t="shared" si="48"/>
        <v>-1.5136820678071032</v>
      </c>
      <c r="V157" s="19">
        <f t="shared" si="48"/>
        <v>-0.14391812205649968</v>
      </c>
      <c r="W157" s="16">
        <f t="shared" si="51"/>
        <v>-6.5179426603451551</v>
      </c>
    </row>
    <row r="158" spans="3:23" x14ac:dyDescent="0.3">
      <c r="C158" s="20" t="s">
        <v>11</v>
      </c>
      <c r="D158" s="25" t="str">
        <f t="shared" si="52"/>
        <v>Serv</v>
      </c>
      <c r="E158" s="9">
        <f t="shared" si="49"/>
        <v>8.953663961716007</v>
      </c>
      <c r="F158" s="10">
        <f t="shared" si="49"/>
        <v>1.627090575938007</v>
      </c>
      <c r="G158" s="10">
        <f t="shared" si="49"/>
        <v>3.3060907229569469</v>
      </c>
      <c r="H158" s="10">
        <f t="shared" si="49"/>
        <v>8.0399315847887713</v>
      </c>
      <c r="I158" s="10">
        <f t="shared" si="49"/>
        <v>0</v>
      </c>
      <c r="J158" s="10">
        <f t="shared" si="49"/>
        <v>0</v>
      </c>
      <c r="K158" s="10">
        <f t="shared" si="49"/>
        <v>2.4221536117172486</v>
      </c>
      <c r="L158" s="10">
        <f t="shared" si="49"/>
        <v>0</v>
      </c>
      <c r="M158" s="11">
        <f t="shared" si="49"/>
        <v>5.9925731456045019</v>
      </c>
      <c r="N158" s="19">
        <f t="shared" si="50"/>
        <v>-1.046336038283993</v>
      </c>
      <c r="O158" s="19">
        <f t="shared" si="48"/>
        <v>-0.37290942406199301</v>
      </c>
      <c r="P158" s="19">
        <f t="shared" si="48"/>
        <v>-0.69390927704305305</v>
      </c>
      <c r="Q158" s="19">
        <f t="shared" si="48"/>
        <v>-1.9600684152112287</v>
      </c>
      <c r="R158" s="19">
        <f t="shared" si="48"/>
        <v>0</v>
      </c>
      <c r="S158" s="19">
        <f t="shared" si="48"/>
        <v>0</v>
      </c>
      <c r="T158" s="19">
        <f t="shared" si="48"/>
        <v>-0.57784638828275137</v>
      </c>
      <c r="U158" s="19">
        <f t="shared" si="48"/>
        <v>0</v>
      </c>
      <c r="V158" s="19">
        <f t="shared" si="48"/>
        <v>-1.0074268543954981</v>
      </c>
      <c r="W158" s="16">
        <f t="shared" si="51"/>
        <v>-5.6584963972785163</v>
      </c>
    </row>
    <row r="159" spans="3:23" x14ac:dyDescent="0.3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346.88456569732648</v>
      </c>
      <c r="O159" s="18"/>
    </row>
    <row r="161" spans="1:23" x14ac:dyDescent="0.3">
      <c r="A161" s="66"/>
    </row>
    <row r="162" spans="1:23" ht="15" thickBot="1" x14ac:dyDescent="0.35">
      <c r="A162" s="68" t="s">
        <v>41</v>
      </c>
      <c r="E162" s="20" t="s">
        <v>1</v>
      </c>
      <c r="F162" s="20" t="s">
        <v>1</v>
      </c>
      <c r="G162" s="20" t="s">
        <v>1</v>
      </c>
      <c r="H162" s="20" t="s">
        <v>10</v>
      </c>
      <c r="I162" s="20" t="s">
        <v>10</v>
      </c>
      <c r="J162" s="20" t="s">
        <v>10</v>
      </c>
      <c r="K162" s="20" t="s">
        <v>11</v>
      </c>
      <c r="L162" s="20" t="s">
        <v>11</v>
      </c>
      <c r="M162" s="20" t="s">
        <v>11</v>
      </c>
    </row>
    <row r="163" spans="1:23" ht="15" thickBot="1" x14ac:dyDescent="0.35">
      <c r="D163" s="23" t="s">
        <v>42</v>
      </c>
      <c r="E163" s="27" t="s">
        <v>51</v>
      </c>
      <c r="F163" s="26" t="s">
        <v>52</v>
      </c>
      <c r="G163" s="26" t="s">
        <v>53</v>
      </c>
      <c r="H163" s="26" t="s">
        <v>51</v>
      </c>
      <c r="I163" s="26" t="s">
        <v>52</v>
      </c>
      <c r="J163" s="26" t="s">
        <v>53</v>
      </c>
      <c r="K163" s="26" t="s">
        <v>51</v>
      </c>
      <c r="L163" s="26" t="s">
        <v>52</v>
      </c>
      <c r="M163" s="26" t="s">
        <v>53</v>
      </c>
    </row>
    <row r="164" spans="1:23" x14ac:dyDescent="0.3">
      <c r="D164" s="28" t="str" cm="1">
        <f t="array" ref="D164:D166">+_xlfn.UNIQUE($D$150:$D$158)</f>
        <v>Agr</v>
      </c>
      <c r="E164" s="1">
        <f>+SUMIF($D$5:$D$13,$D164,E$5:E$13)</f>
        <v>22</v>
      </c>
      <c r="F164" s="2">
        <f t="shared" ref="F164:M166" si="53">+SUMIF($D$5:$D$13,$D164,F$5:F$13)</f>
        <v>20</v>
      </c>
      <c r="G164" s="2">
        <f t="shared" si="53"/>
        <v>22</v>
      </c>
      <c r="H164" s="2">
        <f t="shared" si="53"/>
        <v>17</v>
      </c>
      <c r="I164" s="2">
        <f t="shared" si="53"/>
        <v>20</v>
      </c>
      <c r="J164" s="2">
        <f t="shared" si="53"/>
        <v>17</v>
      </c>
      <c r="K164" s="2">
        <f t="shared" si="53"/>
        <v>20</v>
      </c>
      <c r="L164" s="2">
        <f t="shared" si="53"/>
        <v>25</v>
      </c>
      <c r="M164" s="3">
        <f t="shared" si="53"/>
        <v>19</v>
      </c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3">
      <c r="D165" s="25" t="str">
        <v>Ind</v>
      </c>
      <c r="E165" s="5">
        <f t="shared" ref="E165:E166" si="54">+SUMIF($D$5:$D$13,$D165,E$5:E$13)</f>
        <v>13</v>
      </c>
      <c r="F165" s="6">
        <f t="shared" si="53"/>
        <v>13</v>
      </c>
      <c r="G165" s="6">
        <f t="shared" si="53"/>
        <v>12</v>
      </c>
      <c r="H165" s="6">
        <f t="shared" si="53"/>
        <v>19</v>
      </c>
      <c r="I165" s="6">
        <f t="shared" si="53"/>
        <v>9</v>
      </c>
      <c r="J165" s="6">
        <f t="shared" si="53"/>
        <v>14</v>
      </c>
      <c r="K165" s="6">
        <f t="shared" si="53"/>
        <v>18</v>
      </c>
      <c r="L165" s="6">
        <f t="shared" si="53"/>
        <v>16</v>
      </c>
      <c r="M165" s="7">
        <f t="shared" si="53"/>
        <v>16</v>
      </c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x14ac:dyDescent="0.3">
      <c r="D166" s="25" t="str">
        <v>Serv</v>
      </c>
      <c r="E166" s="9">
        <f t="shared" si="54"/>
        <v>16</v>
      </c>
      <c r="F166" s="10">
        <f t="shared" si="53"/>
        <v>7</v>
      </c>
      <c r="G166" s="10">
        <f t="shared" si="53"/>
        <v>8</v>
      </c>
      <c r="H166" s="10">
        <f t="shared" si="53"/>
        <v>18</v>
      </c>
      <c r="I166" s="10">
        <f t="shared" si="53"/>
        <v>13</v>
      </c>
      <c r="J166" s="10">
        <f t="shared" si="53"/>
        <v>6</v>
      </c>
      <c r="K166" s="10">
        <f t="shared" si="53"/>
        <v>11</v>
      </c>
      <c r="L166" s="10">
        <f t="shared" si="53"/>
        <v>10</v>
      </c>
      <c r="M166" s="11">
        <f t="shared" si="53"/>
        <v>15</v>
      </c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x14ac:dyDescent="0.3">
      <c r="D167" s="25" t="s">
        <v>8</v>
      </c>
      <c r="E167" s="70">
        <f>+E15</f>
        <v>71</v>
      </c>
      <c r="F167" s="71">
        <f t="shared" ref="F167:M167" si="55">+F15</f>
        <v>55</v>
      </c>
      <c r="G167" s="71">
        <f t="shared" si="55"/>
        <v>47</v>
      </c>
      <c r="H167" s="71">
        <f t="shared" si="55"/>
        <v>82</v>
      </c>
      <c r="I167" s="71">
        <f t="shared" si="55"/>
        <v>50</v>
      </c>
      <c r="J167" s="71">
        <f t="shared" si="55"/>
        <v>55</v>
      </c>
      <c r="K167" s="71">
        <f t="shared" si="55"/>
        <v>79</v>
      </c>
      <c r="L167" s="71">
        <f t="shared" si="55"/>
        <v>65</v>
      </c>
      <c r="M167" s="72">
        <f t="shared" si="55"/>
        <v>60</v>
      </c>
      <c r="N167" s="19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x14ac:dyDescent="0.3"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" thickBot="1" x14ac:dyDescent="0.35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" thickBot="1" x14ac:dyDescent="0.35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x14ac:dyDescent="0.3">
      <c r="D171" s="28" t="str" cm="1">
        <f t="array" ref="D171:D173">+_xlfn.UNIQUE($D$150:$D$158)</f>
        <v>Agr</v>
      </c>
      <c r="E171" s="1">
        <f t="shared" ref="E171:M173" si="56">+E164/E$167</f>
        <v>0.30985915492957744</v>
      </c>
      <c r="F171" s="2">
        <f t="shared" si="56"/>
        <v>0.36363636363636365</v>
      </c>
      <c r="G171" s="2">
        <f t="shared" si="56"/>
        <v>0.46808510638297873</v>
      </c>
      <c r="H171" s="2">
        <f t="shared" si="56"/>
        <v>0.2073170731707317</v>
      </c>
      <c r="I171" s="2">
        <f t="shared" si="56"/>
        <v>0.4</v>
      </c>
      <c r="J171" s="2">
        <f t="shared" si="56"/>
        <v>0.30909090909090908</v>
      </c>
      <c r="K171" s="2">
        <f t="shared" si="56"/>
        <v>0.25316455696202533</v>
      </c>
      <c r="L171" s="2">
        <f t="shared" si="56"/>
        <v>0.38461538461538464</v>
      </c>
      <c r="M171" s="3">
        <f t="shared" si="56"/>
        <v>0.31666666666666665</v>
      </c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x14ac:dyDescent="0.3">
      <c r="D172" s="25" t="str">
        <v>Ind</v>
      </c>
      <c r="E172" s="5">
        <f t="shared" si="56"/>
        <v>0.18309859154929578</v>
      </c>
      <c r="F172" s="6">
        <f t="shared" si="56"/>
        <v>0.23636363636363636</v>
      </c>
      <c r="G172" s="6">
        <f t="shared" si="56"/>
        <v>0.25531914893617019</v>
      </c>
      <c r="H172" s="6">
        <f t="shared" si="56"/>
        <v>0.23170731707317074</v>
      </c>
      <c r="I172" s="6">
        <f t="shared" si="56"/>
        <v>0.18</v>
      </c>
      <c r="J172" s="6">
        <f t="shared" si="56"/>
        <v>0.25454545454545452</v>
      </c>
      <c r="K172" s="6">
        <f t="shared" si="56"/>
        <v>0.22784810126582278</v>
      </c>
      <c r="L172" s="6">
        <f t="shared" si="56"/>
        <v>0.24615384615384617</v>
      </c>
      <c r="M172" s="7">
        <f t="shared" si="56"/>
        <v>0.26666666666666666</v>
      </c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x14ac:dyDescent="0.3">
      <c r="D173" s="25" t="str">
        <v>Serv</v>
      </c>
      <c r="E173" s="9">
        <f t="shared" si="56"/>
        <v>0.22535211267605634</v>
      </c>
      <c r="F173" s="10">
        <f t="shared" si="56"/>
        <v>0.12727272727272726</v>
      </c>
      <c r="G173" s="10">
        <f t="shared" si="56"/>
        <v>0.1702127659574468</v>
      </c>
      <c r="H173" s="10">
        <f t="shared" si="56"/>
        <v>0.21951219512195122</v>
      </c>
      <c r="I173" s="10">
        <f t="shared" si="56"/>
        <v>0.26</v>
      </c>
      <c r="J173" s="10">
        <f t="shared" si="56"/>
        <v>0.10909090909090909</v>
      </c>
      <c r="K173" s="10">
        <f t="shared" si="56"/>
        <v>0.13924050632911392</v>
      </c>
      <c r="L173" s="10">
        <f t="shared" si="56"/>
        <v>0.15384615384615385</v>
      </c>
      <c r="M173" s="11">
        <f t="shared" si="56"/>
        <v>0.25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3"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" thickBot="1" x14ac:dyDescent="0.35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" thickBot="1" x14ac:dyDescent="0.35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2:23" x14ac:dyDescent="0.3">
      <c r="D177" s="28" t="str" cm="1">
        <f t="array" ref="D177:D179">+_xlfn.UNIQUE($D$150:$D$158)</f>
        <v>Agr</v>
      </c>
      <c r="E177" s="1">
        <f>+SUMIF($D$150:$D$158,$D177,E$150:E$158)</f>
        <v>19.822088150857404</v>
      </c>
      <c r="F177" s="2">
        <f t="shared" ref="F177:M179" si="57">+SUMIF($D$150:$D$158,$D177,F$150:F$158)</f>
        <v>16.270905759380071</v>
      </c>
      <c r="G177" s="2">
        <f t="shared" si="57"/>
        <v>18.183498976263209</v>
      </c>
      <c r="H177" s="2">
        <f t="shared" si="57"/>
        <v>13.667883694140912</v>
      </c>
      <c r="I177" s="2">
        <f t="shared" si="57"/>
        <v>15.904334679227361</v>
      </c>
      <c r="J177" s="2">
        <f t="shared" si="57"/>
        <v>14.34281094641563</v>
      </c>
      <c r="K177" s="2">
        <f t="shared" si="57"/>
        <v>16.147690744781659</v>
      </c>
      <c r="L177" s="2">
        <f t="shared" si="57"/>
        <v>21.215794830482242</v>
      </c>
      <c r="M177" s="3">
        <f t="shared" si="57"/>
        <v>16.265555680926504</v>
      </c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2:23" x14ac:dyDescent="0.3">
      <c r="D178" s="25" t="str">
        <v>Ind</v>
      </c>
      <c r="E178" s="5">
        <f t="shared" ref="E178:E179" si="58">+SUMIF($D$150:$D$158,$D178,E$150:E$158)</f>
        <v>11.713052089143011</v>
      </c>
      <c r="F178" s="6">
        <f t="shared" si="57"/>
        <v>10.576088743597046</v>
      </c>
      <c r="G178" s="6">
        <f t="shared" si="57"/>
        <v>9.9182721688708391</v>
      </c>
      <c r="H178" s="6">
        <f t="shared" si="57"/>
        <v>15.275870011098664</v>
      </c>
      <c r="I178" s="6">
        <f t="shared" si="57"/>
        <v>7.1569506056523133</v>
      </c>
      <c r="J178" s="6">
        <f t="shared" si="57"/>
        <v>11.811726661754049</v>
      </c>
      <c r="K178" s="6">
        <f t="shared" si="57"/>
        <v>14.532921670303493</v>
      </c>
      <c r="L178" s="6">
        <f t="shared" si="57"/>
        <v>13.578108691508636</v>
      </c>
      <c r="M178" s="7">
        <f t="shared" si="57"/>
        <v>13.697310047096005</v>
      </c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2:23" x14ac:dyDescent="0.3">
      <c r="D179" s="25" t="str">
        <v>Serv</v>
      </c>
      <c r="E179" s="9">
        <f t="shared" si="58"/>
        <v>14.416064109714476</v>
      </c>
      <c r="F179" s="10">
        <f t="shared" si="57"/>
        <v>5.6948170157830251</v>
      </c>
      <c r="G179" s="10">
        <f t="shared" si="57"/>
        <v>6.6121814459138939</v>
      </c>
      <c r="H179" s="10">
        <f t="shared" si="57"/>
        <v>14.47187685261979</v>
      </c>
      <c r="I179" s="10">
        <f t="shared" si="57"/>
        <v>10.337817541497785</v>
      </c>
      <c r="J179" s="10">
        <f t="shared" si="57"/>
        <v>5.0621685693231635</v>
      </c>
      <c r="K179" s="10">
        <f t="shared" si="57"/>
        <v>8.8812299096299121</v>
      </c>
      <c r="L179" s="10">
        <f t="shared" si="57"/>
        <v>8.4863179321928968</v>
      </c>
      <c r="M179" s="11">
        <f t="shared" si="57"/>
        <v>12.841228169152505</v>
      </c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2:23" x14ac:dyDescent="0.3"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2:23" x14ac:dyDescent="0.3">
      <c r="E181" s="1">
        <f>+E177/E171</f>
        <v>63.971284486857989</v>
      </c>
      <c r="F181" s="2">
        <f t="shared" ref="F181:M181" si="59">+F177/F171</f>
        <v>44.744990838295195</v>
      </c>
      <c r="G181" s="2">
        <f t="shared" si="59"/>
        <v>38.846565994744125</v>
      </c>
      <c r="H181" s="2">
        <f t="shared" si="59"/>
        <v>65.927438995267934</v>
      </c>
      <c r="I181" s="2">
        <f t="shared" si="59"/>
        <v>39.760836698068402</v>
      </c>
      <c r="J181" s="2">
        <f t="shared" si="59"/>
        <v>46.403211885462333</v>
      </c>
      <c r="K181" s="2">
        <f t="shared" si="59"/>
        <v>63.78337844188755</v>
      </c>
      <c r="L181" s="2">
        <f t="shared" si="59"/>
        <v>55.161066559253825</v>
      </c>
      <c r="M181" s="3">
        <f t="shared" si="59"/>
        <v>51.364912676610011</v>
      </c>
      <c r="N181" s="19">
        <f t="shared" ref="N181:N183" si="60">+SUM(E181:M181)</f>
        <v>469.96368657644734</v>
      </c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2:23" x14ac:dyDescent="0.3">
      <c r="E182" s="5">
        <f t="shared" ref="E182:M183" si="61">+E178/E172</f>
        <v>63.971284486857982</v>
      </c>
      <c r="F182" s="6">
        <f t="shared" si="61"/>
        <v>44.744990838295195</v>
      </c>
      <c r="G182" s="6">
        <f t="shared" si="61"/>
        <v>38.846565994744125</v>
      </c>
      <c r="H182" s="6">
        <f t="shared" si="61"/>
        <v>65.92743899526792</v>
      </c>
      <c r="I182" s="6">
        <f t="shared" si="61"/>
        <v>39.76083669806841</v>
      </c>
      <c r="J182" s="6">
        <f t="shared" si="61"/>
        <v>46.403211885462341</v>
      </c>
      <c r="K182" s="6">
        <f t="shared" si="61"/>
        <v>63.783378441887557</v>
      </c>
      <c r="L182" s="6">
        <f t="shared" si="61"/>
        <v>55.161066559253825</v>
      </c>
      <c r="M182" s="7">
        <f t="shared" si="61"/>
        <v>51.364912676610018</v>
      </c>
      <c r="N182" s="19">
        <f t="shared" si="60"/>
        <v>469.96368657644734</v>
      </c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2:23" x14ac:dyDescent="0.3">
      <c r="E183" s="73">
        <f t="shared" si="61"/>
        <v>63.971284486857989</v>
      </c>
      <c r="F183" s="74">
        <f t="shared" si="61"/>
        <v>44.744990838295202</v>
      </c>
      <c r="G183" s="74">
        <f t="shared" si="61"/>
        <v>38.846565994744125</v>
      </c>
      <c r="H183" s="74">
        <f t="shared" si="61"/>
        <v>65.927438995267934</v>
      </c>
      <c r="I183" s="74">
        <f t="shared" si="61"/>
        <v>39.760836698068402</v>
      </c>
      <c r="J183" s="74">
        <f t="shared" si="61"/>
        <v>46.403211885462333</v>
      </c>
      <c r="K183" s="74">
        <f t="shared" si="61"/>
        <v>63.783378441887557</v>
      </c>
      <c r="L183" s="74">
        <f t="shared" si="61"/>
        <v>55.161066559253825</v>
      </c>
      <c r="M183" s="75">
        <f t="shared" si="61"/>
        <v>51.364912676610018</v>
      </c>
      <c r="N183" s="19">
        <f t="shared" si="60"/>
        <v>469.9636865764474</v>
      </c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2:23" x14ac:dyDescent="0.3">
      <c r="D184" s="25" t="s">
        <v>47</v>
      </c>
      <c r="E184" s="13">
        <f>+MIN(E181:E183)</f>
        <v>63.971284486857982</v>
      </c>
      <c r="F184" s="14">
        <f t="shared" ref="F184:M184" si="62">+MIN(F181:F183)</f>
        <v>44.744990838295195</v>
      </c>
      <c r="G184" s="14">
        <f t="shared" si="62"/>
        <v>38.846565994744125</v>
      </c>
      <c r="H184" s="14">
        <f t="shared" si="62"/>
        <v>65.92743899526792</v>
      </c>
      <c r="I184" s="14">
        <f t="shared" si="62"/>
        <v>39.760836698068402</v>
      </c>
      <c r="J184" s="14">
        <f t="shared" si="62"/>
        <v>46.403211885462333</v>
      </c>
      <c r="K184" s="14">
        <f t="shared" si="62"/>
        <v>63.78337844188755</v>
      </c>
      <c r="L184" s="14">
        <f t="shared" si="62"/>
        <v>55.161066559253825</v>
      </c>
      <c r="M184" s="15">
        <f t="shared" si="62"/>
        <v>51.364912676610011</v>
      </c>
      <c r="N184" s="19">
        <f>+SUM(E184:M184)</f>
        <v>469.96368657644734</v>
      </c>
    </row>
    <row r="185" spans="2:23" x14ac:dyDescent="0.3">
      <c r="E185" s="18"/>
      <c r="F185" s="18"/>
      <c r="G185" s="18"/>
      <c r="H185" s="18"/>
      <c r="I185" s="18"/>
      <c r="J185" s="18"/>
      <c r="K185" s="18"/>
      <c r="L185" s="18"/>
      <c r="M185" s="18"/>
      <c r="N185" s="18">
        <f>+N184-O14</f>
        <v>-94.036313423552656</v>
      </c>
      <c r="O185" s="18" t="s">
        <v>64</v>
      </c>
      <c r="P185" s="18"/>
      <c r="Q185" s="18"/>
      <c r="R185" s="18"/>
      <c r="S185" s="18"/>
      <c r="T185" s="18"/>
      <c r="U185" s="18"/>
      <c r="V185" s="18"/>
      <c r="W185" s="18"/>
    </row>
    <row r="186" spans="2:23" x14ac:dyDescent="0.3">
      <c r="E186" s="18"/>
      <c r="F186" s="18"/>
      <c r="G186" s="18"/>
      <c r="H186" s="18"/>
      <c r="I186" s="18"/>
      <c r="J186" s="18"/>
      <c r="K186" s="18"/>
      <c r="L186" s="18"/>
      <c r="M186" s="18"/>
      <c r="N186" s="18">
        <f>+N185/O57</f>
        <v>6.6222755932079123</v>
      </c>
      <c r="O186" s="18" t="s">
        <v>65</v>
      </c>
      <c r="P186" s="18"/>
      <c r="Q186" s="18"/>
      <c r="R186" s="18"/>
      <c r="S186" s="18"/>
      <c r="T186" s="18"/>
      <c r="U186" s="18"/>
      <c r="V186" s="18"/>
      <c r="W186" s="18"/>
    </row>
    <row r="187" spans="2:23" x14ac:dyDescent="0.3">
      <c r="B187" s="16"/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  <c r="J187" s="114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2:23" x14ac:dyDescent="0.3">
      <c r="B188" s="99">
        <f>+MAX(E188/C188,0)</f>
        <v>0</v>
      </c>
      <c r="C188" s="5" cm="1">
        <f t="array" ref="C188:C196">+H47:H55</f>
        <v>25</v>
      </c>
      <c r="D188" s="136">
        <f>+MAX(G188-SUM(E150:M150),0)</f>
        <v>27.171284486857978</v>
      </c>
      <c r="E188" s="117">
        <f>+C188-D188</f>
        <v>-2.1712844868579779</v>
      </c>
      <c r="F188" s="78">
        <f>+SUM(E150:M150)+C188</f>
        <v>61.800000000000004</v>
      </c>
      <c r="G188" s="79" cm="1">
        <f t="array" ref="G188:G196">+TRANSPOSE(E184:M184)</f>
        <v>63.971284486857982</v>
      </c>
      <c r="H188" s="117">
        <f>+F188-G188</f>
        <v>-2.1712844868579779</v>
      </c>
      <c r="I188" s="120" t="b">
        <f>+H188&lt;0.01</f>
        <v>1</v>
      </c>
      <c r="J188" s="16">
        <f>+MIN(C188:D188)</f>
        <v>25</v>
      </c>
      <c r="K188" s="18">
        <f>+J188-C188</f>
        <v>0</v>
      </c>
      <c r="L188" s="99">
        <f>+K188/C188</f>
        <v>0</v>
      </c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2:23" x14ac:dyDescent="0.3">
      <c r="B189" s="99">
        <f t="shared" ref="B189:B196" si="63">+MAX(E189/C189,0)</f>
        <v>0</v>
      </c>
      <c r="C189" s="5">
        <v>4.219780219780219</v>
      </c>
      <c r="D189" s="79">
        <f t="shared" ref="D189:D196" si="64">+MAX(G189-SUM(E151:M151),0)</f>
        <v>4.2715072294189582</v>
      </c>
      <c r="E189" s="117">
        <f t="shared" ref="E189:E196" si="65">+C189-D189</f>
        <v>-5.1727009638739219E-2</v>
      </c>
      <c r="F189" s="78">
        <f>+SUM(E151:M151)+C189</f>
        <v>44.693263828656455</v>
      </c>
      <c r="G189" s="79">
        <v>44.744990838295195</v>
      </c>
      <c r="H189" s="117">
        <f t="shared" ref="H189:H196" si="66">+F189-G189</f>
        <v>-5.1727009638739219E-2</v>
      </c>
      <c r="I189" s="120" t="b">
        <f t="shared" ref="I189:I196" si="67">+H189&lt;0.01</f>
        <v>1</v>
      </c>
      <c r="J189" s="16">
        <f t="shared" ref="J189:J196" si="68">+MIN(C189:D189)</f>
        <v>4.219780219780219</v>
      </c>
      <c r="K189" s="18">
        <f t="shared" ref="K189:K196" si="69">+J189-C189</f>
        <v>0</v>
      </c>
      <c r="L189" s="99">
        <f t="shared" ref="L189:L196" si="70">+K189/C189</f>
        <v>0</v>
      </c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2:23" x14ac:dyDescent="0.3">
      <c r="B190" s="99">
        <f t="shared" si="63"/>
        <v>5.5216257967809195E-3</v>
      </c>
      <c r="C190" s="5">
        <v>11.624175824175829</v>
      </c>
      <c r="D190" s="79">
        <f t="shared" si="64"/>
        <v>11.559991475078743</v>
      </c>
      <c r="E190" s="117">
        <f t="shared" si="65"/>
        <v>6.4184349097086368E-2</v>
      </c>
      <c r="F190" s="78">
        <f t="shared" ref="F190:F196" si="71">+SUM(E152:M152)+C190</f>
        <v>38.910750343841215</v>
      </c>
      <c r="G190" s="79">
        <v>38.846565994744125</v>
      </c>
      <c r="H190" s="117">
        <f t="shared" si="66"/>
        <v>6.4184349097089921E-2</v>
      </c>
      <c r="I190" s="120" t="b">
        <f t="shared" si="67"/>
        <v>0</v>
      </c>
      <c r="J190" s="16">
        <f t="shared" si="68"/>
        <v>11.559991475078743</v>
      </c>
      <c r="K190" s="18">
        <f t="shared" si="69"/>
        <v>-6.4184349097086368E-2</v>
      </c>
      <c r="L190" s="99">
        <f t="shared" si="70"/>
        <v>-5.5216257967809195E-3</v>
      </c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2:23" x14ac:dyDescent="0.3">
      <c r="B191" s="99">
        <f t="shared" si="63"/>
        <v>0.18762379815716598</v>
      </c>
      <c r="C191" s="5">
        <v>5.8549450549450626</v>
      </c>
      <c r="D191" s="79">
        <f t="shared" si="64"/>
        <v>4.756418025734753</v>
      </c>
      <c r="E191" s="117">
        <f t="shared" si="65"/>
        <v>1.0985270292103095</v>
      </c>
      <c r="F191" s="78">
        <f t="shared" si="71"/>
        <v>67.025966024478237</v>
      </c>
      <c r="G191" s="79">
        <v>65.92743899526792</v>
      </c>
      <c r="H191" s="117">
        <f t="shared" si="66"/>
        <v>1.0985270292103166</v>
      </c>
      <c r="I191" s="120" t="b">
        <f t="shared" si="67"/>
        <v>0</v>
      </c>
      <c r="J191" s="16">
        <f t="shared" si="68"/>
        <v>4.756418025734753</v>
      </c>
      <c r="K191" s="18">
        <f t="shared" si="69"/>
        <v>-1.0985270292103095</v>
      </c>
      <c r="L191" s="99">
        <f t="shared" si="70"/>
        <v>-0.18762379815716598</v>
      </c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2:23" x14ac:dyDescent="0.3">
      <c r="B192" s="99">
        <f t="shared" si="63"/>
        <v>6.6533193806032264E-3</v>
      </c>
      <c r="C192" s="5">
        <v>2.4725274725274602</v>
      </c>
      <c r="D192" s="79">
        <f t="shared" si="64"/>
        <v>2.4560769575754193</v>
      </c>
      <c r="E192" s="117">
        <f t="shared" si="65"/>
        <v>1.6450514952040862E-2</v>
      </c>
      <c r="F192" s="78">
        <f t="shared" si="71"/>
        <v>39.777287213020443</v>
      </c>
      <c r="G192" s="79">
        <v>39.760836698068402</v>
      </c>
      <c r="H192" s="117">
        <f t="shared" si="66"/>
        <v>1.6450514952040862E-2</v>
      </c>
      <c r="I192" s="120" t="b">
        <f t="shared" si="67"/>
        <v>0</v>
      </c>
      <c r="J192" s="16">
        <f t="shared" si="68"/>
        <v>2.4560769575754193</v>
      </c>
      <c r="K192" s="18">
        <f t="shared" si="69"/>
        <v>-1.6450514952040862E-2</v>
      </c>
      <c r="L192" s="99">
        <f t="shared" si="70"/>
        <v>-6.6533193806032264E-3</v>
      </c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2:23" x14ac:dyDescent="0.3">
      <c r="B193" s="99">
        <f t="shared" si="63"/>
        <v>0</v>
      </c>
      <c r="C193" s="5">
        <v>17.219780219780212</v>
      </c>
      <c r="D193" s="79">
        <f t="shared" si="64"/>
        <v>17.227588462021753</v>
      </c>
      <c r="E193" s="117">
        <f t="shared" si="65"/>
        <v>-7.8082422415413077E-3</v>
      </c>
      <c r="F193" s="78">
        <f t="shared" si="71"/>
        <v>46.395403643220789</v>
      </c>
      <c r="G193" s="79">
        <v>46.403211885462333</v>
      </c>
      <c r="H193" s="117">
        <f t="shared" si="66"/>
        <v>-7.8082422415448605E-3</v>
      </c>
      <c r="I193" s="120" t="b">
        <f t="shared" si="67"/>
        <v>1</v>
      </c>
      <c r="J193" s="16">
        <f t="shared" si="68"/>
        <v>17.219780219780212</v>
      </c>
      <c r="K193" s="18">
        <f t="shared" si="69"/>
        <v>0</v>
      </c>
      <c r="L193" s="99">
        <f t="shared" si="70"/>
        <v>0</v>
      </c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2:23" x14ac:dyDescent="0.3">
      <c r="B194" s="99">
        <f t="shared" si="63"/>
        <v>9.7464984670464522E-2</v>
      </c>
      <c r="C194" s="5">
        <v>11.006593406593396</v>
      </c>
      <c r="D194" s="79">
        <f t="shared" si="64"/>
        <v>9.9338359489457346</v>
      </c>
      <c r="E194" s="117">
        <f t="shared" si="65"/>
        <v>1.0727574576476613</v>
      </c>
      <c r="F194" s="78">
        <f t="shared" si="71"/>
        <v>64.856135899535218</v>
      </c>
      <c r="G194" s="79">
        <v>63.78337844188755</v>
      </c>
      <c r="H194" s="117">
        <f t="shared" si="66"/>
        <v>1.0727574576476684</v>
      </c>
      <c r="I194" s="120" t="b">
        <f t="shared" si="67"/>
        <v>0</v>
      </c>
      <c r="J194" s="16">
        <f t="shared" si="68"/>
        <v>9.9338359489457346</v>
      </c>
      <c r="K194" s="18">
        <f t="shared" si="69"/>
        <v>-1.0727574576476613</v>
      </c>
      <c r="L194" s="99">
        <f t="shared" si="70"/>
        <v>-9.7464984670464522E-2</v>
      </c>
    </row>
    <row r="195" spans="2:23" x14ac:dyDescent="0.3">
      <c r="B195" s="99">
        <f t="shared" si="63"/>
        <v>1.4273726173811474E-3</v>
      </c>
      <c r="C195" s="5">
        <v>24.714285714285687</v>
      </c>
      <c r="D195" s="79">
        <f t="shared" si="64"/>
        <v>24.679009219598981</v>
      </c>
      <c r="E195" s="117">
        <f t="shared" si="65"/>
        <v>3.5276494686705462E-2</v>
      </c>
      <c r="F195" s="78">
        <f t="shared" si="71"/>
        <v>55.196343053940531</v>
      </c>
      <c r="G195" s="79">
        <v>55.161066559253825</v>
      </c>
      <c r="H195" s="117">
        <f t="shared" si="66"/>
        <v>3.5276494686705462E-2</v>
      </c>
      <c r="I195" s="120" t="b">
        <f t="shared" si="67"/>
        <v>0</v>
      </c>
      <c r="J195" s="16">
        <f t="shared" si="68"/>
        <v>24.679009219598981</v>
      </c>
      <c r="K195" s="18">
        <f t="shared" si="69"/>
        <v>-3.5276494686705462E-2</v>
      </c>
      <c r="L195" s="99">
        <f t="shared" si="70"/>
        <v>-1.4273726173811474E-3</v>
      </c>
    </row>
    <row r="196" spans="2:23" x14ac:dyDescent="0.3">
      <c r="B196" s="99">
        <f t="shared" si="63"/>
        <v>0</v>
      </c>
      <c r="C196" s="9">
        <v>20.967032967032985</v>
      </c>
      <c r="D196" s="79">
        <f t="shared" si="64"/>
        <v>21.023409073888526</v>
      </c>
      <c r="E196" s="118">
        <f t="shared" si="65"/>
        <v>-5.6376106855541508E-2</v>
      </c>
      <c r="F196" s="80">
        <f t="shared" si="71"/>
        <v>51.308536569754466</v>
      </c>
      <c r="G196" s="81">
        <v>51.364912676610011</v>
      </c>
      <c r="H196" s="118">
        <f t="shared" si="66"/>
        <v>-5.6376106855545061E-2</v>
      </c>
      <c r="I196" s="120" t="b">
        <f t="shared" si="67"/>
        <v>1</v>
      </c>
      <c r="J196" s="16">
        <f t="shared" si="68"/>
        <v>20.967032967032985</v>
      </c>
      <c r="K196" s="18">
        <f t="shared" si="69"/>
        <v>0</v>
      </c>
      <c r="L196" s="99">
        <f t="shared" si="70"/>
        <v>0</v>
      </c>
    </row>
    <row r="198" spans="2:23" ht="15" thickBot="1" x14ac:dyDescent="0.35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23" ht="15" thickBot="1" x14ac:dyDescent="0.35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23" x14ac:dyDescent="0.3">
      <c r="C200" s="20" t="s">
        <v>1</v>
      </c>
      <c r="D200" s="28" t="s">
        <v>51</v>
      </c>
      <c r="E200" s="1">
        <f>+E150/E$184</f>
        <v>0.12505611016210702</v>
      </c>
      <c r="F200" s="2">
        <f t="shared" ref="F200:M200" si="72">+F150/F$184</f>
        <v>8.9395481484300196E-2</v>
      </c>
      <c r="G200" s="2">
        <f t="shared" si="72"/>
        <v>0.20593840910113873</v>
      </c>
      <c r="H200" s="2">
        <f t="shared" si="72"/>
        <v>1.2134552959920402E-2</v>
      </c>
      <c r="I200" s="2">
        <f t="shared" si="72"/>
        <v>0</v>
      </c>
      <c r="J200" s="2">
        <f t="shared" si="72"/>
        <v>0.13792148732715326</v>
      </c>
      <c r="K200" s="2">
        <f t="shared" si="72"/>
        <v>3.7627357763537379E-2</v>
      </c>
      <c r="L200" s="2">
        <f t="shared" si="72"/>
        <v>0.10152087965856317</v>
      </c>
      <c r="M200" s="3">
        <f t="shared" si="72"/>
        <v>3.114966845312268E-2</v>
      </c>
    </row>
    <row r="201" spans="2:23" x14ac:dyDescent="0.3">
      <c r="C201" s="20" t="s">
        <v>1</v>
      </c>
      <c r="D201" s="25" t="s">
        <v>52</v>
      </c>
      <c r="E201" s="5">
        <f t="shared" ref="E201:M208" si="73">+E151/E$184</f>
        <v>0.11186745901106079</v>
      </c>
      <c r="F201" s="6">
        <f t="shared" si="73"/>
        <v>5.454545454545455E-2</v>
      </c>
      <c r="G201" s="6">
        <f t="shared" si="73"/>
        <v>0.19148936170212766</v>
      </c>
      <c r="H201" s="6">
        <f t="shared" si="73"/>
        <v>4.878048780487805E-2</v>
      </c>
      <c r="I201" s="6">
        <f t="shared" si="73"/>
        <v>0.04</v>
      </c>
      <c r="J201" s="6">
        <f t="shared" si="73"/>
        <v>0.18181818181818182</v>
      </c>
      <c r="K201" s="6">
        <f t="shared" si="73"/>
        <v>1.2658227848101266E-2</v>
      </c>
      <c r="L201" s="6">
        <f t="shared" si="73"/>
        <v>6.1538461538461549E-2</v>
      </c>
      <c r="M201" s="7">
        <f t="shared" si="73"/>
        <v>0.11666666666666668</v>
      </c>
    </row>
    <row r="202" spans="2:23" x14ac:dyDescent="0.3">
      <c r="C202" s="20" t="s">
        <v>1</v>
      </c>
      <c r="D202" s="25" t="s">
        <v>53</v>
      </c>
      <c r="E202" s="5">
        <f t="shared" si="73"/>
        <v>1.0033306289210272E-3</v>
      </c>
      <c r="F202" s="6">
        <f t="shared" si="73"/>
        <v>0</v>
      </c>
      <c r="G202" s="6">
        <f t="shared" si="73"/>
        <v>0</v>
      </c>
      <c r="H202" s="6">
        <f t="shared" si="73"/>
        <v>8.5365853658536592E-2</v>
      </c>
      <c r="I202" s="6">
        <f t="shared" si="73"/>
        <v>0.08</v>
      </c>
      <c r="J202" s="6">
        <f t="shared" si="73"/>
        <v>7.2727272727272724E-2</v>
      </c>
      <c r="K202" s="6">
        <f t="shared" si="73"/>
        <v>8.8607594936708861E-2</v>
      </c>
      <c r="L202" s="6">
        <f t="shared" si="73"/>
        <v>6.1538461538461549E-2</v>
      </c>
      <c r="M202" s="7">
        <f t="shared" si="73"/>
        <v>0.11666666666666668</v>
      </c>
    </row>
    <row r="203" spans="2:23" x14ac:dyDescent="0.3">
      <c r="C203" s="20" t="s">
        <v>10</v>
      </c>
      <c r="D203" s="25" t="str">
        <f>+D200</f>
        <v>Agr</v>
      </c>
      <c r="E203" s="5">
        <f t="shared" si="73"/>
        <v>0.13444951250973938</v>
      </c>
      <c r="F203" s="6">
        <f t="shared" si="73"/>
        <v>9.1699827835574579E-2</v>
      </c>
      <c r="G203" s="6">
        <f t="shared" si="73"/>
        <v>8.8673217662657899E-2</v>
      </c>
      <c r="H203" s="6">
        <f t="shared" si="73"/>
        <v>8.539749599455515E-2</v>
      </c>
      <c r="I203" s="6">
        <f t="shared" si="73"/>
        <v>0.2</v>
      </c>
      <c r="J203" s="6">
        <f t="shared" si="73"/>
        <v>0.16757176938444865</v>
      </c>
      <c r="K203" s="6">
        <f t="shared" si="73"/>
        <v>0.12676372774782715</v>
      </c>
      <c r="L203" s="6">
        <f t="shared" si="73"/>
        <v>0.14168560403320543</v>
      </c>
      <c r="M203" s="7">
        <f t="shared" si="73"/>
        <v>0.15114078600963185</v>
      </c>
    </row>
    <row r="204" spans="2:23" x14ac:dyDescent="0.3">
      <c r="C204" s="20" t="s">
        <v>10</v>
      </c>
      <c r="D204" s="25" t="str">
        <f t="shared" ref="D204:D208" si="74">+D201</f>
        <v>Ind</v>
      </c>
      <c r="E204" s="5">
        <f t="shared" si="73"/>
        <v>5.6595182845272221E-2</v>
      </c>
      <c r="F204" s="6">
        <f t="shared" si="73"/>
        <v>3.6363636363636362E-2</v>
      </c>
      <c r="G204" s="6">
        <f t="shared" si="73"/>
        <v>6.3829787234042548E-2</v>
      </c>
      <c r="H204" s="6">
        <f t="shared" si="73"/>
        <v>7.3170731707317069E-2</v>
      </c>
      <c r="I204" s="6">
        <f t="shared" si="73"/>
        <v>0.14000000000000001</v>
      </c>
      <c r="J204" s="6">
        <f t="shared" si="73"/>
        <v>7.2727272727272724E-2</v>
      </c>
      <c r="K204" s="6">
        <f t="shared" si="73"/>
        <v>0.11392405063291139</v>
      </c>
      <c r="L204" s="6">
        <f t="shared" si="73"/>
        <v>3.0769230769230774E-2</v>
      </c>
      <c r="M204" s="7">
        <f t="shared" si="73"/>
        <v>0.13333333333333336</v>
      </c>
    </row>
    <row r="205" spans="2:23" x14ac:dyDescent="0.3">
      <c r="C205" s="20" t="s">
        <v>10</v>
      </c>
      <c r="D205" s="25" t="str">
        <f t="shared" si="74"/>
        <v>Serv</v>
      </c>
      <c r="E205" s="5">
        <f t="shared" si="73"/>
        <v>8.4384983703279737E-2</v>
      </c>
      <c r="F205" s="6">
        <f t="shared" si="73"/>
        <v>9.0909090909090912E-2</v>
      </c>
      <c r="G205" s="6">
        <f t="shared" si="73"/>
        <v>8.5106382978723402E-2</v>
      </c>
      <c r="H205" s="6">
        <f t="shared" si="73"/>
        <v>1.2195121951219513E-2</v>
      </c>
      <c r="I205" s="6">
        <f t="shared" si="73"/>
        <v>0.18</v>
      </c>
      <c r="J205" s="6">
        <f t="shared" si="73"/>
        <v>3.6363636363636362E-2</v>
      </c>
      <c r="K205" s="6">
        <f t="shared" si="73"/>
        <v>1.2658227848101266E-2</v>
      </c>
      <c r="L205" s="6">
        <f t="shared" si="73"/>
        <v>9.2307692307692313E-2</v>
      </c>
      <c r="M205" s="7">
        <f t="shared" si="73"/>
        <v>1.666666666666667E-2</v>
      </c>
    </row>
    <row r="206" spans="2:23" x14ac:dyDescent="0.3">
      <c r="C206" s="20" t="s">
        <v>11</v>
      </c>
      <c r="D206" s="25" t="str">
        <f t="shared" si="74"/>
        <v>Agr</v>
      </c>
      <c r="E206" s="5">
        <f t="shared" si="73"/>
        <v>5.0353532257731051E-2</v>
      </c>
      <c r="F206" s="6">
        <f t="shared" si="73"/>
        <v>0.18254105431648884</v>
      </c>
      <c r="G206" s="6">
        <f t="shared" si="73"/>
        <v>0.17347347961918208</v>
      </c>
      <c r="H206" s="6">
        <f t="shared" si="73"/>
        <v>0.10978502421625617</v>
      </c>
      <c r="I206" s="6">
        <f t="shared" si="73"/>
        <v>0.2</v>
      </c>
      <c r="J206" s="6">
        <f t="shared" si="73"/>
        <v>3.5976523793071892E-3</v>
      </c>
      <c r="K206" s="6">
        <f t="shared" si="73"/>
        <v>8.8773471450660793E-2</v>
      </c>
      <c r="L206" s="6">
        <f t="shared" si="73"/>
        <v>0.14140890092361602</v>
      </c>
      <c r="M206" s="7">
        <f t="shared" si="73"/>
        <v>0.13437621220391219</v>
      </c>
    </row>
    <row r="207" spans="2:23" x14ac:dyDescent="0.3">
      <c r="C207" s="20" t="s">
        <v>11</v>
      </c>
      <c r="D207" s="25" t="str">
        <f t="shared" si="74"/>
        <v>Ind</v>
      </c>
      <c r="E207" s="5">
        <f t="shared" si="73"/>
        <v>1.4635949692962759E-2</v>
      </c>
      <c r="F207" s="6">
        <f t="shared" si="73"/>
        <v>0.14545454545454545</v>
      </c>
      <c r="G207" s="6">
        <f t="shared" si="73"/>
        <v>0</v>
      </c>
      <c r="H207" s="6">
        <f t="shared" si="73"/>
        <v>0.10975609756097561</v>
      </c>
      <c r="I207" s="6">
        <f t="shared" si="73"/>
        <v>0</v>
      </c>
      <c r="J207" s="6">
        <f t="shared" si="73"/>
        <v>0</v>
      </c>
      <c r="K207" s="6">
        <f t="shared" si="73"/>
        <v>0.10126582278481013</v>
      </c>
      <c r="L207" s="6">
        <f t="shared" si="73"/>
        <v>0.15384615384615385</v>
      </c>
      <c r="M207" s="7">
        <f t="shared" si="73"/>
        <v>1.666666666666667E-2</v>
      </c>
    </row>
    <row r="208" spans="2:23" x14ac:dyDescent="0.3">
      <c r="C208" s="20" t="s">
        <v>11</v>
      </c>
      <c r="D208" s="25" t="str">
        <f t="shared" si="74"/>
        <v>Serv</v>
      </c>
      <c r="E208" s="9">
        <f t="shared" si="73"/>
        <v>0.13996379834385558</v>
      </c>
      <c r="F208" s="10">
        <f t="shared" si="73"/>
        <v>3.6363636363636362E-2</v>
      </c>
      <c r="G208" s="10">
        <f t="shared" si="73"/>
        <v>8.5106382978723402E-2</v>
      </c>
      <c r="H208" s="10">
        <f t="shared" si="73"/>
        <v>0.12195121951219513</v>
      </c>
      <c r="I208" s="10">
        <f t="shared" si="73"/>
        <v>0</v>
      </c>
      <c r="J208" s="10">
        <f t="shared" si="73"/>
        <v>0</v>
      </c>
      <c r="K208" s="10">
        <f t="shared" si="73"/>
        <v>3.7974683544303799E-2</v>
      </c>
      <c r="L208" s="10">
        <f t="shared" si="73"/>
        <v>0</v>
      </c>
      <c r="M208" s="11">
        <f t="shared" si="73"/>
        <v>0.11666666666666668</v>
      </c>
    </row>
    <row r="211" spans="3:13" ht="15" thickBot="1" x14ac:dyDescent="0.35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" thickBot="1" x14ac:dyDescent="0.35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3">
      <c r="C213" s="20" t="s">
        <v>1</v>
      </c>
      <c r="D213" s="28" t="s">
        <v>51</v>
      </c>
      <c r="E213" s="1" cm="1">
        <f t="array" ref="E213:M221">+MINVERSE(_xlfn.MUNIT(COUNTA($D$213:$D$221))-E200:M208)</f>
        <v>1.3102693723849232</v>
      </c>
      <c r="F213" s="2">
        <v>0.27956498590510098</v>
      </c>
      <c r="G213" s="2">
        <v>0.4379255569734723</v>
      </c>
      <c r="H213" s="2">
        <v>0.19039601337482814</v>
      </c>
      <c r="I213" s="2">
        <v>0.21311222733405519</v>
      </c>
      <c r="J213" s="2">
        <v>0.32328711552532974</v>
      </c>
      <c r="K213" s="2">
        <v>0.20394494021840309</v>
      </c>
      <c r="L213" s="2">
        <v>0.31836781877327514</v>
      </c>
      <c r="M213" s="3">
        <v>0.24884473671550569</v>
      </c>
    </row>
    <row r="214" spans="3:13" x14ac:dyDescent="0.3">
      <c r="C214" s="20" t="s">
        <v>1</v>
      </c>
      <c r="D214" s="25" t="s">
        <v>52</v>
      </c>
      <c r="E214" s="5">
        <v>0.32926089746103016</v>
      </c>
      <c r="F214" s="6">
        <v>1.2573903348704087</v>
      </c>
      <c r="G214" s="6">
        <v>0.44656978637287037</v>
      </c>
      <c r="H214" s="6">
        <v>0.24803650787747267</v>
      </c>
      <c r="I214" s="6">
        <v>0.28381417880461657</v>
      </c>
      <c r="J214" s="6">
        <v>0.383361315866173</v>
      </c>
      <c r="K214" s="6">
        <v>0.19723329517959276</v>
      </c>
      <c r="L214" s="6">
        <v>0.29006501564214349</v>
      </c>
      <c r="M214" s="7">
        <v>0.36465200813702725</v>
      </c>
    </row>
    <row r="215" spans="3:13" x14ac:dyDescent="0.3">
      <c r="C215" s="20" t="s">
        <v>1</v>
      </c>
      <c r="D215" s="25" t="s">
        <v>53</v>
      </c>
      <c r="E215" s="5">
        <v>0.16423499095370206</v>
      </c>
      <c r="F215" s="6">
        <v>0.16218388842616957</v>
      </c>
      <c r="G215" s="6">
        <v>1.1885997765961291</v>
      </c>
      <c r="H215" s="6">
        <v>0.24353992699132138</v>
      </c>
      <c r="I215" s="6">
        <v>0.27262554437203623</v>
      </c>
      <c r="J215" s="6">
        <v>0.20761233247516125</v>
      </c>
      <c r="K215" s="6">
        <v>0.23402212625710361</v>
      </c>
      <c r="L215" s="6">
        <v>0.23039549743441107</v>
      </c>
      <c r="M215" s="7">
        <v>0.31088300272359309</v>
      </c>
    </row>
    <row r="216" spans="3:13" x14ac:dyDescent="0.3">
      <c r="C216" s="20" t="s">
        <v>10</v>
      </c>
      <c r="D216" s="25" t="str">
        <f>+D213</f>
        <v>Agr</v>
      </c>
      <c r="E216" s="5">
        <v>0.4811707977369542</v>
      </c>
      <c r="F216" s="6">
        <v>0.43532679552509146</v>
      </c>
      <c r="G216" s="6">
        <v>0.50951754269955307</v>
      </c>
      <c r="H216" s="6">
        <v>1.4123752366609001</v>
      </c>
      <c r="I216" s="6">
        <v>0.59770324107635142</v>
      </c>
      <c r="J216" s="6">
        <v>0.4817919219469492</v>
      </c>
      <c r="K216" s="6">
        <v>0.43326359403031722</v>
      </c>
      <c r="L216" s="6">
        <v>0.50964453827587031</v>
      </c>
      <c r="M216" s="7">
        <v>0.55825548772081013</v>
      </c>
    </row>
    <row r="217" spans="3:13" x14ac:dyDescent="0.3">
      <c r="C217" s="20" t="s">
        <v>10</v>
      </c>
      <c r="D217" s="25" t="str">
        <f t="shared" ref="D217:D221" si="75">+D214</f>
        <v>Ind</v>
      </c>
      <c r="E217" s="5">
        <v>0.27910985863186855</v>
      </c>
      <c r="F217" s="6">
        <v>0.24850329917353595</v>
      </c>
      <c r="G217" s="6">
        <v>0.33078763107623466</v>
      </c>
      <c r="H217" s="6">
        <v>0.28517375378041965</v>
      </c>
      <c r="I217" s="6">
        <v>1.3998445767896737</v>
      </c>
      <c r="J217" s="6">
        <v>0.26819962521356822</v>
      </c>
      <c r="K217" s="6">
        <v>0.31076255145776405</v>
      </c>
      <c r="L217" s="6">
        <v>0.25546511157185448</v>
      </c>
      <c r="M217" s="7">
        <v>0.40359881939016035</v>
      </c>
    </row>
    <row r="218" spans="3:13" x14ac:dyDescent="0.3">
      <c r="C218" s="20" t="s">
        <v>10</v>
      </c>
      <c r="D218" s="25" t="str">
        <f t="shared" si="75"/>
        <v>Serv</v>
      </c>
      <c r="E218" s="5">
        <v>0.24724601800191107</v>
      </c>
      <c r="F218" s="6">
        <v>0.25161663775124588</v>
      </c>
      <c r="G218" s="6">
        <v>0.28739661706057057</v>
      </c>
      <c r="H218" s="6">
        <v>0.17044739325035629</v>
      </c>
      <c r="I218" s="6">
        <v>0.36817375137311081</v>
      </c>
      <c r="J218" s="6">
        <v>1.2003389364553876</v>
      </c>
      <c r="K218" s="6">
        <v>0.16711272046969394</v>
      </c>
      <c r="L218" s="6">
        <v>0.26966820402430403</v>
      </c>
      <c r="M218" s="7">
        <v>0.21780451824512778</v>
      </c>
    </row>
    <row r="219" spans="3:13" x14ac:dyDescent="0.3">
      <c r="C219" s="20" t="s">
        <v>11</v>
      </c>
      <c r="D219" s="25" t="str">
        <f t="shared" si="75"/>
        <v>Agr</v>
      </c>
      <c r="E219" s="5">
        <v>0.3666784100088995</v>
      </c>
      <c r="F219" s="6">
        <v>0.48731234768991644</v>
      </c>
      <c r="G219" s="6">
        <v>0.55329963633848678</v>
      </c>
      <c r="H219" s="6">
        <v>0.42516644748018556</v>
      </c>
      <c r="I219" s="6">
        <v>0.55862172144433131</v>
      </c>
      <c r="J219" s="6">
        <v>0.3074374296587003</v>
      </c>
      <c r="K219" s="6">
        <v>1.3814309439642307</v>
      </c>
      <c r="L219" s="6">
        <v>0.47558369421238816</v>
      </c>
      <c r="M219" s="7">
        <v>0.53236000681815598</v>
      </c>
    </row>
    <row r="220" spans="3:13" x14ac:dyDescent="0.3">
      <c r="C220" s="20" t="s">
        <v>11</v>
      </c>
      <c r="D220" s="25" t="str">
        <f t="shared" si="75"/>
        <v>Ind</v>
      </c>
      <c r="E220" s="5">
        <v>0.19184769170283084</v>
      </c>
      <c r="F220" s="6">
        <v>0.33956584520411531</v>
      </c>
      <c r="G220" s="6">
        <v>0.22248719533759381</v>
      </c>
      <c r="H220" s="6">
        <v>0.28547385875087383</v>
      </c>
      <c r="I220" s="6">
        <v>0.20036884771502289</v>
      </c>
      <c r="J220" s="6">
        <v>0.17406383569265518</v>
      </c>
      <c r="K220" s="6">
        <v>0.26254668712447438</v>
      </c>
      <c r="L220" s="6">
        <v>1.3636657588528309</v>
      </c>
      <c r="M220" s="7">
        <v>0.22904184044937681</v>
      </c>
    </row>
    <row r="221" spans="3:13" x14ac:dyDescent="0.3">
      <c r="C221" s="20" t="s">
        <v>11</v>
      </c>
      <c r="D221" s="25" t="str">
        <f t="shared" si="75"/>
        <v>Serv</v>
      </c>
      <c r="E221" s="9">
        <v>0.31918269051572584</v>
      </c>
      <c r="F221" s="10">
        <v>0.19273507033398823</v>
      </c>
      <c r="G221" s="10">
        <v>0.29642005783485353</v>
      </c>
      <c r="H221" s="10">
        <v>0.2771109109950598</v>
      </c>
      <c r="I221" s="10">
        <v>0.17825072676415876</v>
      </c>
      <c r="J221" s="10">
        <v>0.16674112114285114</v>
      </c>
      <c r="K221" s="10">
        <v>0.1821851678615177</v>
      </c>
      <c r="L221" s="10">
        <v>0.17538999466961219</v>
      </c>
      <c r="M221" s="11">
        <v>1.3164267122044575</v>
      </c>
    </row>
    <row r="223" spans="3:13" x14ac:dyDescent="0.3">
      <c r="E223" s="16"/>
      <c r="F223" s="16"/>
      <c r="G223" s="18"/>
      <c r="I223" s="16"/>
      <c r="L223" s="16"/>
    </row>
    <row r="224" spans="3:13" x14ac:dyDescent="0.3">
      <c r="E224" s="16"/>
      <c r="F224" s="16"/>
      <c r="G224" s="18"/>
      <c r="I224" s="16"/>
      <c r="L224" s="16"/>
    </row>
    <row r="225" spans="5:12" x14ac:dyDescent="0.3">
      <c r="E225" s="16"/>
      <c r="F225" s="16"/>
      <c r="G225" s="18"/>
      <c r="I225" s="16"/>
      <c r="L225" s="16"/>
    </row>
    <row r="226" spans="5:12" x14ac:dyDescent="0.3">
      <c r="E226" s="16"/>
      <c r="F226" s="16"/>
      <c r="G226" s="18"/>
      <c r="I226" s="16"/>
      <c r="L226" s="16"/>
    </row>
    <row r="227" spans="5:12" x14ac:dyDescent="0.3">
      <c r="E227" s="16"/>
      <c r="F227" s="16"/>
      <c r="G227" s="18"/>
      <c r="I227" s="16"/>
      <c r="L227" s="16"/>
    </row>
    <row r="228" spans="5:12" x14ac:dyDescent="0.3">
      <c r="E228" s="16"/>
      <c r="F228" s="16"/>
      <c r="G228" s="18"/>
      <c r="I228" s="16"/>
      <c r="L228" s="16"/>
    </row>
    <row r="229" spans="5:12" x14ac:dyDescent="0.3">
      <c r="E229" s="16"/>
      <c r="F229" s="16"/>
      <c r="G229" s="18"/>
      <c r="I229" s="16"/>
      <c r="L229" s="16"/>
    </row>
    <row r="230" spans="5:12" x14ac:dyDescent="0.3">
      <c r="E230" s="16"/>
      <c r="F230" s="16"/>
      <c r="G230" s="18"/>
      <c r="I230" s="16"/>
      <c r="L230" s="16"/>
    </row>
    <row r="231" spans="5:12" x14ac:dyDescent="0.3">
      <c r="E231" s="16"/>
      <c r="F231" s="16"/>
      <c r="G231" s="18"/>
      <c r="I231" s="16"/>
      <c r="L231" s="16"/>
    </row>
    <row r="234" spans="5:12" x14ac:dyDescent="0.3">
      <c r="E234" s="16"/>
    </row>
    <row r="235" spans="5:12" x14ac:dyDescent="0.3">
      <c r="E235" s="16"/>
      <c r="F235" s="18"/>
    </row>
    <row r="236" spans="5:12" x14ac:dyDescent="0.3">
      <c r="E236" s="16"/>
      <c r="F236" s="18"/>
    </row>
    <row r="237" spans="5:12" x14ac:dyDescent="0.3">
      <c r="E237" s="16"/>
      <c r="F237" s="18"/>
    </row>
    <row r="238" spans="5:12" x14ac:dyDescent="0.3">
      <c r="E238" s="16"/>
      <c r="F238" s="18"/>
    </row>
    <row r="239" spans="5:12" x14ac:dyDescent="0.3">
      <c r="E239" s="16"/>
      <c r="F239" s="18"/>
    </row>
    <row r="240" spans="5:12" x14ac:dyDescent="0.3">
      <c r="E240" s="16"/>
      <c r="F240" s="18"/>
    </row>
    <row r="241" spans="5:6" x14ac:dyDescent="0.3">
      <c r="E241" s="16"/>
      <c r="F241" s="18"/>
    </row>
    <row r="242" spans="5:6" x14ac:dyDescent="0.3">
      <c r="E242" s="16"/>
      <c r="F242" s="18"/>
    </row>
    <row r="243" spans="5:6" x14ac:dyDescent="0.3">
      <c r="F243" s="18"/>
    </row>
  </sheetData>
  <conditionalFormatting sqref="E88:M88">
    <cfRule type="expression" dxfId="29" priority="2">
      <formula>E88&lt;E89</formula>
    </cfRule>
  </conditionalFormatting>
  <conditionalFormatting sqref="E89:M89">
    <cfRule type="expression" dxfId="28" priority="1">
      <formula>E89&lt;E88</formula>
    </cfRule>
  </conditionalFormatting>
  <conditionalFormatting sqref="E106:M115">
    <cfRule type="expression" dxfId="27" priority="10">
      <formula>E106&lt;0</formula>
    </cfRule>
  </conditionalFormatting>
  <conditionalFormatting sqref="E131:M133">
    <cfRule type="expression" dxfId="26" priority="8">
      <formula>E131&lt;0</formula>
    </cfRule>
  </conditionalFormatting>
  <conditionalFormatting sqref="E137:M145">
    <cfRule type="expression" dxfId="25" priority="9">
      <formula>E137&lt;0</formula>
    </cfRule>
  </conditionalFormatting>
  <conditionalFormatting sqref="N78:V8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0:V15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4:W172">
    <cfRule type="containsText" dxfId="24" priority="3" operator="containsText" text="FALSO">
      <formula>NOT(ISERROR(SEARCH("FALSO",O164)))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0:W142 V136:W1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DA8E-26BD-46CA-9C66-5A0A4D224F14}">
  <dimension ref="A3:AJ243"/>
  <sheetViews>
    <sheetView showGridLines="0" topLeftCell="A168" zoomScaleNormal="100" workbookViewId="0">
      <selection activeCell="H47" sqref="H47"/>
    </sheetView>
  </sheetViews>
  <sheetFormatPr defaultRowHeight="14.4" x14ac:dyDescent="0.3"/>
  <cols>
    <col min="1" max="1" width="12.6640625" style="65" customWidth="1"/>
    <col min="2" max="14" width="12.6640625" customWidth="1"/>
    <col min="15" max="15" width="16.6640625" bestFit="1" customWidth="1"/>
    <col min="16" max="23" width="12.6640625" customWidth="1"/>
    <col min="29" max="29" width="16.33203125" bestFit="1" customWidth="1"/>
  </cols>
  <sheetData>
    <row r="3" spans="3:18" ht="15" thickBot="1" x14ac:dyDescent="0.35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" thickBot="1" x14ac:dyDescent="0.35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3">
      <c r="C5" s="20" t="s">
        <v>1</v>
      </c>
      <c r="D5" s="28" t="s">
        <v>51</v>
      </c>
      <c r="E5" s="1">
        <v>10</v>
      </c>
      <c r="F5" s="2">
        <v>5</v>
      </c>
      <c r="G5" s="2">
        <v>10</v>
      </c>
      <c r="H5" s="2">
        <v>1</v>
      </c>
      <c r="I5" s="2">
        <v>0</v>
      </c>
      <c r="J5" s="2">
        <v>8</v>
      </c>
      <c r="K5" s="2">
        <v>3</v>
      </c>
      <c r="L5" s="2">
        <v>7</v>
      </c>
      <c r="M5" s="3">
        <v>2</v>
      </c>
      <c r="N5" s="24">
        <v>25</v>
      </c>
      <c r="O5" s="29">
        <f>+SUM(E5:N5)</f>
        <v>71</v>
      </c>
      <c r="P5" s="62" cm="1">
        <f t="array" ref="P5:P13">+MMULT(E21:M29,O5:O13)</f>
        <v>46</v>
      </c>
      <c r="Q5" s="61">
        <f>+P5+N5</f>
        <v>71</v>
      </c>
      <c r="R5" s="61" t="b">
        <f>+Q5=O5</f>
        <v>1</v>
      </c>
    </row>
    <row r="6" spans="3:18" x14ac:dyDescent="0.3">
      <c r="C6" s="20" t="s">
        <v>1</v>
      </c>
      <c r="D6" s="25" t="s">
        <v>52</v>
      </c>
      <c r="E6" s="5">
        <v>8</v>
      </c>
      <c r="F6" s="6">
        <v>3</v>
      </c>
      <c r="G6" s="6">
        <v>9</v>
      </c>
      <c r="H6" s="6">
        <v>4</v>
      </c>
      <c r="I6" s="6">
        <v>2</v>
      </c>
      <c r="J6" s="6">
        <v>10</v>
      </c>
      <c r="K6" s="6">
        <v>1</v>
      </c>
      <c r="L6" s="6">
        <v>4</v>
      </c>
      <c r="M6" s="7">
        <v>7</v>
      </c>
      <c r="N6" s="8">
        <v>7</v>
      </c>
      <c r="O6" s="30">
        <f t="shared" ref="O6:O13" si="0">+SUM(E6:N6)</f>
        <v>55</v>
      </c>
      <c r="P6" s="62">
        <v>48</v>
      </c>
      <c r="Q6" s="61">
        <f t="shared" ref="Q6:Q13" si="1">+P6+N6</f>
        <v>55</v>
      </c>
      <c r="R6" s="61" t="b">
        <f t="shared" ref="R6:R13" si="2">+Q6=O6</f>
        <v>1</v>
      </c>
    </row>
    <row r="7" spans="3:18" x14ac:dyDescent="0.3">
      <c r="C7" s="20" t="s">
        <v>1</v>
      </c>
      <c r="D7" s="25" t="s">
        <v>53</v>
      </c>
      <c r="E7" s="5">
        <v>0</v>
      </c>
      <c r="F7" s="6">
        <v>0</v>
      </c>
      <c r="G7" s="6">
        <v>0</v>
      </c>
      <c r="H7" s="6">
        <v>7</v>
      </c>
      <c r="I7" s="6">
        <v>4</v>
      </c>
      <c r="J7" s="6">
        <v>4</v>
      </c>
      <c r="K7" s="6">
        <v>7</v>
      </c>
      <c r="L7" s="6">
        <v>4</v>
      </c>
      <c r="M7" s="7">
        <v>7</v>
      </c>
      <c r="N7" s="8">
        <v>14</v>
      </c>
      <c r="O7" s="30">
        <f t="shared" si="0"/>
        <v>47</v>
      </c>
      <c r="P7" s="62">
        <v>33</v>
      </c>
      <c r="Q7" s="61">
        <f t="shared" si="1"/>
        <v>47</v>
      </c>
      <c r="R7" s="61" t="b">
        <f t="shared" si="2"/>
        <v>1</v>
      </c>
    </row>
    <row r="8" spans="3:18" x14ac:dyDescent="0.3">
      <c r="C8" s="20" t="s">
        <v>10</v>
      </c>
      <c r="D8" s="25" t="str">
        <f>+D5</f>
        <v>Agr</v>
      </c>
      <c r="E8" s="5">
        <v>9</v>
      </c>
      <c r="F8" s="6">
        <v>5</v>
      </c>
      <c r="G8" s="6">
        <v>4</v>
      </c>
      <c r="H8" s="6">
        <v>7</v>
      </c>
      <c r="I8" s="6">
        <v>10</v>
      </c>
      <c r="J8" s="6">
        <v>9</v>
      </c>
      <c r="K8" s="6">
        <v>10</v>
      </c>
      <c r="L8" s="6">
        <v>9</v>
      </c>
      <c r="M8" s="7">
        <v>9</v>
      </c>
      <c r="N8" s="8">
        <v>10</v>
      </c>
      <c r="O8" s="30">
        <f t="shared" si="0"/>
        <v>82</v>
      </c>
      <c r="P8" s="62">
        <v>72</v>
      </c>
      <c r="Q8" s="61">
        <f t="shared" si="1"/>
        <v>82</v>
      </c>
      <c r="R8" s="61" t="b">
        <f t="shared" si="2"/>
        <v>1</v>
      </c>
    </row>
    <row r="9" spans="3:18" x14ac:dyDescent="0.3">
      <c r="C9" s="20" t="s">
        <v>10</v>
      </c>
      <c r="D9" s="25" t="str">
        <f t="shared" ref="D9:D13" si="3">+D6</f>
        <v>Ind</v>
      </c>
      <c r="E9" s="5">
        <v>4</v>
      </c>
      <c r="F9" s="6">
        <v>2</v>
      </c>
      <c r="G9" s="6">
        <v>3</v>
      </c>
      <c r="H9" s="6">
        <v>6</v>
      </c>
      <c r="I9" s="6">
        <v>7</v>
      </c>
      <c r="J9" s="6">
        <v>4</v>
      </c>
      <c r="K9" s="6">
        <v>9</v>
      </c>
      <c r="L9" s="6">
        <v>2</v>
      </c>
      <c r="M9" s="7">
        <v>8</v>
      </c>
      <c r="N9" s="8">
        <v>5</v>
      </c>
      <c r="O9" s="30">
        <f t="shared" si="0"/>
        <v>50</v>
      </c>
      <c r="P9" s="62">
        <v>45</v>
      </c>
      <c r="Q9" s="61">
        <f t="shared" si="1"/>
        <v>50</v>
      </c>
      <c r="R9" s="61" t="b">
        <f t="shared" si="2"/>
        <v>1</v>
      </c>
    </row>
    <row r="10" spans="3:18" x14ac:dyDescent="0.3">
      <c r="C10" s="20" t="s">
        <v>10</v>
      </c>
      <c r="D10" s="25" t="str">
        <f t="shared" si="3"/>
        <v>Serv</v>
      </c>
      <c r="E10" s="5">
        <v>6</v>
      </c>
      <c r="F10" s="6">
        <v>5</v>
      </c>
      <c r="G10" s="6">
        <v>4</v>
      </c>
      <c r="H10" s="6">
        <v>1</v>
      </c>
      <c r="I10" s="6">
        <v>9</v>
      </c>
      <c r="J10" s="6">
        <v>2</v>
      </c>
      <c r="K10" s="6">
        <v>1</v>
      </c>
      <c r="L10" s="6">
        <v>6</v>
      </c>
      <c r="M10" s="7">
        <v>1</v>
      </c>
      <c r="N10" s="8">
        <v>20</v>
      </c>
      <c r="O10" s="30">
        <f t="shared" si="0"/>
        <v>55</v>
      </c>
      <c r="P10" s="62">
        <v>35</v>
      </c>
      <c r="Q10" s="61">
        <f t="shared" si="1"/>
        <v>55</v>
      </c>
      <c r="R10" s="61" t="b">
        <f t="shared" si="2"/>
        <v>1</v>
      </c>
    </row>
    <row r="11" spans="3:18" x14ac:dyDescent="0.3">
      <c r="C11" s="20" t="s">
        <v>11</v>
      </c>
      <c r="D11" s="25" t="str">
        <f t="shared" si="3"/>
        <v>Agr</v>
      </c>
      <c r="E11" s="5">
        <v>3</v>
      </c>
      <c r="F11" s="6">
        <v>10</v>
      </c>
      <c r="G11" s="6">
        <v>8</v>
      </c>
      <c r="H11" s="6">
        <v>9</v>
      </c>
      <c r="I11" s="6">
        <v>10</v>
      </c>
      <c r="J11" s="6">
        <v>0</v>
      </c>
      <c r="K11" s="6">
        <v>7</v>
      </c>
      <c r="L11" s="6">
        <v>9</v>
      </c>
      <c r="M11" s="7">
        <v>8</v>
      </c>
      <c r="N11" s="8">
        <v>15</v>
      </c>
      <c r="O11" s="30">
        <f t="shared" si="0"/>
        <v>79</v>
      </c>
      <c r="P11" s="62">
        <v>64</v>
      </c>
      <c r="Q11" s="61">
        <f t="shared" si="1"/>
        <v>79</v>
      </c>
      <c r="R11" s="61" t="b">
        <f t="shared" si="2"/>
        <v>1</v>
      </c>
    </row>
    <row r="12" spans="3:18" x14ac:dyDescent="0.3">
      <c r="C12" s="20" t="s">
        <v>11</v>
      </c>
      <c r="D12" s="25" t="str">
        <f t="shared" si="3"/>
        <v>Ind</v>
      </c>
      <c r="E12" s="5">
        <v>1</v>
      </c>
      <c r="F12" s="6">
        <v>8</v>
      </c>
      <c r="G12" s="6">
        <v>0</v>
      </c>
      <c r="H12" s="6">
        <v>9</v>
      </c>
      <c r="I12" s="6">
        <v>0</v>
      </c>
      <c r="J12" s="6">
        <v>0</v>
      </c>
      <c r="K12" s="6">
        <v>8</v>
      </c>
      <c r="L12" s="6">
        <v>10</v>
      </c>
      <c r="M12" s="7">
        <v>1</v>
      </c>
      <c r="N12" s="8">
        <v>28</v>
      </c>
      <c r="O12" s="30">
        <f t="shared" si="0"/>
        <v>65</v>
      </c>
      <c r="P12" s="62">
        <v>37</v>
      </c>
      <c r="Q12" s="61">
        <f t="shared" si="1"/>
        <v>65</v>
      </c>
      <c r="R12" s="61" t="b">
        <f t="shared" si="2"/>
        <v>1</v>
      </c>
    </row>
    <row r="13" spans="3:18" x14ac:dyDescent="0.3">
      <c r="C13" s="20" t="s">
        <v>11</v>
      </c>
      <c r="D13" s="25" t="str">
        <f t="shared" si="3"/>
        <v>Serv</v>
      </c>
      <c r="E13" s="9">
        <v>10</v>
      </c>
      <c r="F13" s="10">
        <v>2</v>
      </c>
      <c r="G13" s="10">
        <v>4</v>
      </c>
      <c r="H13" s="10">
        <v>10</v>
      </c>
      <c r="I13" s="10">
        <v>0</v>
      </c>
      <c r="J13" s="10">
        <v>0</v>
      </c>
      <c r="K13" s="10">
        <v>3</v>
      </c>
      <c r="L13" s="10">
        <v>0</v>
      </c>
      <c r="M13" s="11">
        <v>7</v>
      </c>
      <c r="N13" s="12">
        <v>24</v>
      </c>
      <c r="O13" s="31">
        <f t="shared" si="0"/>
        <v>60</v>
      </c>
      <c r="P13" s="62">
        <v>36</v>
      </c>
      <c r="Q13" s="61">
        <f t="shared" si="1"/>
        <v>60</v>
      </c>
      <c r="R13" s="61" t="b">
        <f t="shared" si="2"/>
        <v>1</v>
      </c>
    </row>
    <row r="14" spans="3:18" x14ac:dyDescent="0.3">
      <c r="D14" s="22" t="s">
        <v>9</v>
      </c>
      <c r="E14" s="13">
        <v>20</v>
      </c>
      <c r="F14" s="14">
        <v>15</v>
      </c>
      <c r="G14" s="14">
        <v>5</v>
      </c>
      <c r="H14" s="14">
        <v>28</v>
      </c>
      <c r="I14" s="14">
        <v>8</v>
      </c>
      <c r="J14" s="14">
        <v>18</v>
      </c>
      <c r="K14" s="14">
        <v>30</v>
      </c>
      <c r="L14" s="14">
        <v>14</v>
      </c>
      <c r="M14" s="15">
        <v>10</v>
      </c>
      <c r="N14" s="19">
        <f>+SUM(E5:M13)</f>
        <v>416</v>
      </c>
      <c r="O14" s="19">
        <f>SUM(O5:O13)</f>
        <v>564</v>
      </c>
      <c r="R14" s="18"/>
    </row>
    <row r="15" spans="3:18" x14ac:dyDescent="0.3">
      <c r="D15" s="20" t="s">
        <v>8</v>
      </c>
      <c r="E15" s="13">
        <f t="shared" ref="E15:L15" si="4">SUM(E5:E14)</f>
        <v>71</v>
      </c>
      <c r="F15" s="14">
        <f t="shared" si="4"/>
        <v>55</v>
      </c>
      <c r="G15" s="14">
        <f t="shared" si="4"/>
        <v>47</v>
      </c>
      <c r="H15" s="14">
        <f t="shared" si="4"/>
        <v>82</v>
      </c>
      <c r="I15" s="14">
        <f t="shared" si="4"/>
        <v>50</v>
      </c>
      <c r="J15" s="14">
        <f t="shared" si="4"/>
        <v>55</v>
      </c>
      <c r="K15" s="14">
        <f t="shared" si="4"/>
        <v>79</v>
      </c>
      <c r="L15" s="14">
        <f t="shared" si="4"/>
        <v>65</v>
      </c>
      <c r="M15" s="15">
        <f>SUM(M5:M14)</f>
        <v>60</v>
      </c>
      <c r="R15" s="18"/>
    </row>
    <row r="16" spans="3:18" x14ac:dyDescent="0.3">
      <c r="E16" s="16" cm="1">
        <f t="array" ref="E16:M16">+TRANSPOSE(O5:O13)</f>
        <v>71</v>
      </c>
      <c r="F16" s="16">
        <v>55</v>
      </c>
      <c r="G16" s="16">
        <v>47</v>
      </c>
      <c r="H16" s="16">
        <v>82</v>
      </c>
      <c r="I16" s="16">
        <v>50</v>
      </c>
      <c r="J16" s="16">
        <v>55</v>
      </c>
      <c r="K16" s="16">
        <v>79</v>
      </c>
      <c r="L16" s="16">
        <v>65</v>
      </c>
      <c r="M16" s="16">
        <v>60</v>
      </c>
      <c r="R16" s="18"/>
    </row>
    <row r="17" spans="3:18" x14ac:dyDescent="0.3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3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" thickBot="1" x14ac:dyDescent="0.35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" thickBot="1" x14ac:dyDescent="0.35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3">
      <c r="C21" s="20" t="s">
        <v>1</v>
      </c>
      <c r="D21" s="28" t="s">
        <v>51</v>
      </c>
      <c r="E21" s="1">
        <f>+E5/E$15</f>
        <v>0.14084507042253522</v>
      </c>
      <c r="F21" s="2">
        <f t="shared" ref="F21:M21" si="6">+F5/F$15</f>
        <v>9.0909090909090912E-2</v>
      </c>
      <c r="G21" s="2">
        <f t="shared" si="6"/>
        <v>0.21276595744680851</v>
      </c>
      <c r="H21" s="2">
        <f t="shared" si="6"/>
        <v>1.2195121951219513E-2</v>
      </c>
      <c r="I21" s="2">
        <f t="shared" si="6"/>
        <v>0</v>
      </c>
      <c r="J21" s="2">
        <f t="shared" si="6"/>
        <v>0.14545454545454545</v>
      </c>
      <c r="K21" s="2">
        <f t="shared" si="6"/>
        <v>3.7974683544303799E-2</v>
      </c>
      <c r="L21" s="2">
        <f t="shared" si="6"/>
        <v>0.1076923076923077</v>
      </c>
      <c r="M21" s="3">
        <f t="shared" si="6"/>
        <v>3.3333333333333333E-2</v>
      </c>
    </row>
    <row r="22" spans="3:18" x14ac:dyDescent="0.3">
      <c r="C22" s="20" t="s">
        <v>1</v>
      </c>
      <c r="D22" s="25" t="s">
        <v>52</v>
      </c>
      <c r="E22" s="5">
        <f t="shared" ref="E22:M30" si="7">+E6/E$15</f>
        <v>0.11267605633802817</v>
      </c>
      <c r="F22" s="6">
        <f t="shared" si="7"/>
        <v>5.4545454545454543E-2</v>
      </c>
      <c r="G22" s="6">
        <f t="shared" si="7"/>
        <v>0.19148936170212766</v>
      </c>
      <c r="H22" s="6">
        <f t="shared" si="7"/>
        <v>4.878048780487805E-2</v>
      </c>
      <c r="I22" s="6">
        <f t="shared" si="7"/>
        <v>0.04</v>
      </c>
      <c r="J22" s="6">
        <f t="shared" si="7"/>
        <v>0.18181818181818182</v>
      </c>
      <c r="K22" s="6">
        <f t="shared" si="7"/>
        <v>1.2658227848101266E-2</v>
      </c>
      <c r="L22" s="6">
        <f t="shared" si="7"/>
        <v>6.1538461538461542E-2</v>
      </c>
      <c r="M22" s="7">
        <f t="shared" si="7"/>
        <v>0.11666666666666667</v>
      </c>
    </row>
    <row r="23" spans="3:18" x14ac:dyDescent="0.3">
      <c r="C23" s="20" t="s">
        <v>1</v>
      </c>
      <c r="D23" s="25" t="s">
        <v>53</v>
      </c>
      <c r="E23" s="5">
        <f t="shared" si="7"/>
        <v>0</v>
      </c>
      <c r="F23" s="6">
        <f t="shared" si="7"/>
        <v>0</v>
      </c>
      <c r="G23" s="6">
        <f t="shared" si="7"/>
        <v>0</v>
      </c>
      <c r="H23" s="6">
        <f t="shared" si="7"/>
        <v>8.5365853658536592E-2</v>
      </c>
      <c r="I23" s="6">
        <f t="shared" si="7"/>
        <v>0.08</v>
      </c>
      <c r="J23" s="6">
        <f t="shared" si="7"/>
        <v>7.2727272727272724E-2</v>
      </c>
      <c r="K23" s="6">
        <f t="shared" si="7"/>
        <v>8.8607594936708861E-2</v>
      </c>
      <c r="L23" s="6">
        <f t="shared" si="7"/>
        <v>6.1538461538461542E-2</v>
      </c>
      <c r="M23" s="7">
        <f t="shared" si="7"/>
        <v>0.11666666666666667</v>
      </c>
    </row>
    <row r="24" spans="3:18" x14ac:dyDescent="0.3">
      <c r="C24" s="20" t="s">
        <v>10</v>
      </c>
      <c r="D24" s="25" t="str">
        <f>+D21</f>
        <v>Agr</v>
      </c>
      <c r="E24" s="5">
        <f t="shared" si="7"/>
        <v>0.12676056338028169</v>
      </c>
      <c r="F24" s="6">
        <f t="shared" si="7"/>
        <v>9.0909090909090912E-2</v>
      </c>
      <c r="G24" s="6">
        <f t="shared" si="7"/>
        <v>8.5106382978723402E-2</v>
      </c>
      <c r="H24" s="6">
        <f t="shared" si="7"/>
        <v>8.5365853658536592E-2</v>
      </c>
      <c r="I24" s="6">
        <f t="shared" si="7"/>
        <v>0.2</v>
      </c>
      <c r="J24" s="6">
        <f t="shared" si="7"/>
        <v>0.16363636363636364</v>
      </c>
      <c r="K24" s="6">
        <f t="shared" si="7"/>
        <v>0.12658227848101267</v>
      </c>
      <c r="L24" s="6">
        <f t="shared" si="7"/>
        <v>0.13846153846153847</v>
      </c>
      <c r="M24" s="7">
        <f t="shared" si="7"/>
        <v>0.15</v>
      </c>
    </row>
    <row r="25" spans="3:18" x14ac:dyDescent="0.3">
      <c r="C25" s="20" t="s">
        <v>10</v>
      </c>
      <c r="D25" s="25" t="str">
        <f t="shared" ref="D25:D29" si="8">+D22</f>
        <v>Ind</v>
      </c>
      <c r="E25" s="5">
        <f t="shared" si="7"/>
        <v>5.6338028169014086E-2</v>
      </c>
      <c r="F25" s="6">
        <f t="shared" si="7"/>
        <v>3.6363636363636362E-2</v>
      </c>
      <c r="G25" s="6">
        <f t="shared" si="7"/>
        <v>6.3829787234042548E-2</v>
      </c>
      <c r="H25" s="6">
        <f t="shared" si="7"/>
        <v>7.3170731707317069E-2</v>
      </c>
      <c r="I25" s="6">
        <f t="shared" si="7"/>
        <v>0.14000000000000001</v>
      </c>
      <c r="J25" s="6">
        <f t="shared" si="7"/>
        <v>7.2727272727272724E-2</v>
      </c>
      <c r="K25" s="6">
        <f t="shared" si="7"/>
        <v>0.11392405063291139</v>
      </c>
      <c r="L25" s="6">
        <f t="shared" si="7"/>
        <v>3.0769230769230771E-2</v>
      </c>
      <c r="M25" s="7">
        <f t="shared" si="7"/>
        <v>0.13333333333333333</v>
      </c>
    </row>
    <row r="26" spans="3:18" x14ac:dyDescent="0.3">
      <c r="C26" s="20" t="s">
        <v>10</v>
      </c>
      <c r="D26" s="25" t="str">
        <f t="shared" si="8"/>
        <v>Serv</v>
      </c>
      <c r="E26" s="5">
        <f t="shared" si="7"/>
        <v>8.4507042253521125E-2</v>
      </c>
      <c r="F26" s="6">
        <f t="shared" si="7"/>
        <v>9.0909090909090912E-2</v>
      </c>
      <c r="G26" s="6">
        <f t="shared" si="7"/>
        <v>8.5106382978723402E-2</v>
      </c>
      <c r="H26" s="6">
        <f t="shared" si="7"/>
        <v>1.2195121951219513E-2</v>
      </c>
      <c r="I26" s="6">
        <f t="shared" si="7"/>
        <v>0.18</v>
      </c>
      <c r="J26" s="6">
        <f t="shared" si="7"/>
        <v>3.6363636363636362E-2</v>
      </c>
      <c r="K26" s="6">
        <f t="shared" si="7"/>
        <v>1.2658227848101266E-2</v>
      </c>
      <c r="L26" s="6">
        <f t="shared" si="7"/>
        <v>9.2307692307692313E-2</v>
      </c>
      <c r="M26" s="7">
        <f t="shared" si="7"/>
        <v>1.6666666666666666E-2</v>
      </c>
    </row>
    <row r="27" spans="3:18" x14ac:dyDescent="0.3">
      <c r="C27" s="20" t="s">
        <v>11</v>
      </c>
      <c r="D27" s="25" t="str">
        <f t="shared" si="8"/>
        <v>Agr</v>
      </c>
      <c r="E27" s="5">
        <f t="shared" si="7"/>
        <v>4.2253521126760563E-2</v>
      </c>
      <c r="F27" s="6">
        <f t="shared" si="7"/>
        <v>0.18181818181818182</v>
      </c>
      <c r="G27" s="6">
        <f t="shared" si="7"/>
        <v>0.1702127659574468</v>
      </c>
      <c r="H27" s="6">
        <f t="shared" si="7"/>
        <v>0.10975609756097561</v>
      </c>
      <c r="I27" s="6">
        <f t="shared" si="7"/>
        <v>0.2</v>
      </c>
      <c r="J27" s="6">
        <f t="shared" si="7"/>
        <v>0</v>
      </c>
      <c r="K27" s="6">
        <f t="shared" si="7"/>
        <v>8.8607594936708861E-2</v>
      </c>
      <c r="L27" s="6">
        <f t="shared" si="7"/>
        <v>0.13846153846153847</v>
      </c>
      <c r="M27" s="7">
        <f t="shared" si="7"/>
        <v>0.13333333333333333</v>
      </c>
    </row>
    <row r="28" spans="3:18" x14ac:dyDescent="0.3">
      <c r="C28" s="20" t="s">
        <v>11</v>
      </c>
      <c r="D28" s="25" t="str">
        <f t="shared" si="8"/>
        <v>Ind</v>
      </c>
      <c r="E28" s="5">
        <f t="shared" si="7"/>
        <v>1.4084507042253521E-2</v>
      </c>
      <c r="F28" s="6">
        <f t="shared" si="7"/>
        <v>0.14545454545454545</v>
      </c>
      <c r="G28" s="6">
        <f t="shared" si="7"/>
        <v>0</v>
      </c>
      <c r="H28" s="6">
        <f t="shared" si="7"/>
        <v>0.10975609756097561</v>
      </c>
      <c r="I28" s="6">
        <f t="shared" si="7"/>
        <v>0</v>
      </c>
      <c r="J28" s="6">
        <f t="shared" si="7"/>
        <v>0</v>
      </c>
      <c r="K28" s="6">
        <f t="shared" si="7"/>
        <v>0.10126582278481013</v>
      </c>
      <c r="L28" s="6">
        <f t="shared" si="7"/>
        <v>0.15384615384615385</v>
      </c>
      <c r="M28" s="7">
        <f t="shared" si="7"/>
        <v>1.6666666666666666E-2</v>
      </c>
    </row>
    <row r="29" spans="3:18" x14ac:dyDescent="0.3">
      <c r="C29" s="20" t="s">
        <v>11</v>
      </c>
      <c r="D29" s="25" t="str">
        <f t="shared" si="8"/>
        <v>Serv</v>
      </c>
      <c r="E29" s="9">
        <f t="shared" si="7"/>
        <v>0.14084507042253522</v>
      </c>
      <c r="F29" s="10">
        <f t="shared" si="7"/>
        <v>3.6363636363636362E-2</v>
      </c>
      <c r="G29" s="10">
        <f t="shared" si="7"/>
        <v>8.5106382978723402E-2</v>
      </c>
      <c r="H29" s="10">
        <f t="shared" si="7"/>
        <v>0.12195121951219512</v>
      </c>
      <c r="I29" s="10">
        <f t="shared" si="7"/>
        <v>0</v>
      </c>
      <c r="J29" s="10">
        <f t="shared" si="7"/>
        <v>0</v>
      </c>
      <c r="K29" s="10">
        <f t="shared" si="7"/>
        <v>3.7974683544303799E-2</v>
      </c>
      <c r="L29" s="10">
        <f t="shared" si="7"/>
        <v>0</v>
      </c>
      <c r="M29" s="11">
        <f t="shared" si="7"/>
        <v>0.11666666666666667</v>
      </c>
    </row>
    <row r="30" spans="3:18" x14ac:dyDescent="0.3">
      <c r="D30" s="22" t="s">
        <v>9</v>
      </c>
      <c r="E30" s="13">
        <f t="shared" si="7"/>
        <v>0.28169014084507044</v>
      </c>
      <c r="F30" s="14">
        <f t="shared" si="7"/>
        <v>0.27272727272727271</v>
      </c>
      <c r="G30" s="14">
        <f t="shared" si="7"/>
        <v>0.10638297872340426</v>
      </c>
      <c r="H30" s="14">
        <f t="shared" si="7"/>
        <v>0.34146341463414637</v>
      </c>
      <c r="I30" s="14">
        <f t="shared" si="7"/>
        <v>0.16</v>
      </c>
      <c r="J30" s="14">
        <f t="shared" si="7"/>
        <v>0.32727272727272727</v>
      </c>
      <c r="K30" s="14">
        <f t="shared" si="7"/>
        <v>0.379746835443038</v>
      </c>
      <c r="L30" s="14">
        <f t="shared" si="7"/>
        <v>0.2153846153846154</v>
      </c>
      <c r="M30" s="15">
        <f t="shared" si="7"/>
        <v>0.16666666666666666</v>
      </c>
    </row>
    <row r="31" spans="3:18" x14ac:dyDescent="0.3">
      <c r="D31" s="20" t="s">
        <v>8</v>
      </c>
      <c r="E31" s="13">
        <f t="shared" ref="E31:M31" si="9">SUM(E21:E30)</f>
        <v>1</v>
      </c>
      <c r="F31" s="14">
        <f t="shared" si="9"/>
        <v>1</v>
      </c>
      <c r="G31" s="14">
        <f t="shared" si="9"/>
        <v>1</v>
      </c>
      <c r="H31" s="14">
        <f t="shared" si="9"/>
        <v>1</v>
      </c>
      <c r="I31" s="14">
        <f t="shared" si="9"/>
        <v>1</v>
      </c>
      <c r="J31" s="14">
        <f t="shared" si="9"/>
        <v>1</v>
      </c>
      <c r="K31" s="14">
        <f t="shared" si="9"/>
        <v>1</v>
      </c>
      <c r="L31" s="14">
        <f t="shared" si="9"/>
        <v>1</v>
      </c>
      <c r="M31" s="15">
        <f t="shared" si="9"/>
        <v>1</v>
      </c>
    </row>
    <row r="34" spans="2:18" ht="15" thickBot="1" x14ac:dyDescent="0.35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2:18" ht="15" thickBot="1" x14ac:dyDescent="0.35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2:18" x14ac:dyDescent="0.3">
      <c r="C36" s="20" t="s">
        <v>1</v>
      </c>
      <c r="D36" s="28" t="s">
        <v>51</v>
      </c>
      <c r="E36" s="1" cm="1">
        <f t="array" ref="E36:M44">+MINVERSE(_xlfn.MUNIT(COUNTA($D$36:$D$44))-E21:M29)</f>
        <v>1.3396897673098553</v>
      </c>
      <c r="F36" s="2">
        <v>0.29313766151442472</v>
      </c>
      <c r="G36" s="2">
        <v>0.46062080591971027</v>
      </c>
      <c r="H36" s="2">
        <v>0.20047114765858043</v>
      </c>
      <c r="I36" s="2">
        <v>0.22471967444765886</v>
      </c>
      <c r="J36" s="2">
        <v>0.34329239630226011</v>
      </c>
      <c r="K36" s="2">
        <v>0.21398444112354956</v>
      </c>
      <c r="L36" s="2">
        <v>0.33876647757551959</v>
      </c>
      <c r="M36" s="3">
        <v>0.26323813083081754</v>
      </c>
      <c r="N36" s="16" cm="1">
        <f t="array" ref="N36:N44">+MMULT(_xlfn.ANCHORARRAY(E36),N5:N13)</f>
        <v>71</v>
      </c>
    </row>
    <row r="37" spans="2:18" x14ac:dyDescent="0.3">
      <c r="C37" s="20" t="s">
        <v>1</v>
      </c>
      <c r="D37" s="25" t="s">
        <v>52</v>
      </c>
      <c r="E37" s="5">
        <v>0.33305376452405477</v>
      </c>
      <c r="F37" s="6">
        <v>1.2588962622476694</v>
      </c>
      <c r="G37" s="6">
        <v>0.44906571639362902</v>
      </c>
      <c r="H37" s="6">
        <v>0.24914151781031268</v>
      </c>
      <c r="I37" s="6">
        <v>0.2850825641197372</v>
      </c>
      <c r="J37" s="6">
        <v>0.38551433058519635</v>
      </c>
      <c r="K37" s="6">
        <v>0.19834507137089469</v>
      </c>
      <c r="L37" s="6">
        <v>0.29225190328391093</v>
      </c>
      <c r="M37" s="7">
        <v>0.36621325203064486</v>
      </c>
      <c r="N37" s="16">
        <v>55.000000000000007</v>
      </c>
    </row>
    <row r="38" spans="2:18" x14ac:dyDescent="0.3">
      <c r="C38" s="20" t="s">
        <v>1</v>
      </c>
      <c r="D38" s="25" t="s">
        <v>53</v>
      </c>
      <c r="E38" s="5">
        <v>0.16096426404995831</v>
      </c>
      <c r="F38" s="6">
        <v>0.16098912768389811</v>
      </c>
      <c r="G38" s="6">
        <v>1.1866305477256527</v>
      </c>
      <c r="H38" s="6">
        <v>0.24266960433010817</v>
      </c>
      <c r="I38" s="6">
        <v>0.27162888961053594</v>
      </c>
      <c r="J38" s="6">
        <v>0.20593716184064856</v>
      </c>
      <c r="K38" s="6">
        <v>0.23314113071157197</v>
      </c>
      <c r="L38" s="6">
        <v>0.22869828937505449</v>
      </c>
      <c r="M38" s="7">
        <v>0.3096620435609494</v>
      </c>
      <c r="N38" s="16">
        <v>47.000000000000014</v>
      </c>
    </row>
    <row r="39" spans="2:18" x14ac:dyDescent="0.3">
      <c r="C39" s="20" t="s">
        <v>10</v>
      </c>
      <c r="D39" s="25" t="str">
        <f>+D36</f>
        <v>Agr</v>
      </c>
      <c r="E39" s="5">
        <v>0.46948940027866004</v>
      </c>
      <c r="F39" s="6">
        <v>0.42979983594636084</v>
      </c>
      <c r="G39" s="6">
        <v>0.50026321949972674</v>
      </c>
      <c r="H39" s="6">
        <v>1.4082652483739835</v>
      </c>
      <c r="I39" s="6">
        <v>0.59296552145230841</v>
      </c>
      <c r="J39" s="6">
        <v>0.47360784454465799</v>
      </c>
      <c r="K39" s="6">
        <v>0.42917417879158681</v>
      </c>
      <c r="L39" s="6">
        <v>0.50129474506177585</v>
      </c>
      <c r="M39" s="7">
        <v>0.55237410595478087</v>
      </c>
      <c r="N39" s="16">
        <v>82</v>
      </c>
    </row>
    <row r="40" spans="2:18" x14ac:dyDescent="0.3">
      <c r="C40" s="20" t="s">
        <v>10</v>
      </c>
      <c r="D40" s="25" t="str">
        <f t="shared" ref="D40:D44" si="10">+D37</f>
        <v>Ind</v>
      </c>
      <c r="E40" s="5">
        <v>0.27827723239842433</v>
      </c>
      <c r="F40" s="6">
        <v>0.24820393574606325</v>
      </c>
      <c r="G40" s="6">
        <v>0.33029476378346578</v>
      </c>
      <c r="H40" s="6">
        <v>0.28495600131722088</v>
      </c>
      <c r="I40" s="6">
        <v>1.3995953346694374</v>
      </c>
      <c r="J40" s="6">
        <v>0.26778154004367211</v>
      </c>
      <c r="K40" s="6">
        <v>0.31054185905945586</v>
      </c>
      <c r="L40" s="6">
        <v>0.25504174687087422</v>
      </c>
      <c r="M40" s="7">
        <v>0.40329377754913653</v>
      </c>
      <c r="N40" s="16">
        <v>50</v>
      </c>
    </row>
    <row r="41" spans="2:18" x14ac:dyDescent="0.3">
      <c r="C41" s="20" t="s">
        <v>10</v>
      </c>
      <c r="D41" s="25" t="str">
        <f t="shared" si="10"/>
        <v>Serv</v>
      </c>
      <c r="E41" s="5">
        <v>0.24935170583985158</v>
      </c>
      <c r="F41" s="6">
        <v>0.25257975039975866</v>
      </c>
      <c r="G41" s="6">
        <v>0.28900630839132929</v>
      </c>
      <c r="H41" s="6">
        <v>0.17116188311097175</v>
      </c>
      <c r="I41" s="6">
        <v>0.36899674724360437</v>
      </c>
      <c r="J41" s="6">
        <v>1.201756232476507</v>
      </c>
      <c r="K41" s="6">
        <v>0.16782504737118717</v>
      </c>
      <c r="L41" s="6">
        <v>0.27111308072234536</v>
      </c>
      <c r="M41" s="7">
        <v>0.21882464983647648</v>
      </c>
      <c r="N41" s="16">
        <v>55</v>
      </c>
    </row>
    <row r="42" spans="2:18" x14ac:dyDescent="0.3">
      <c r="C42" s="20" t="s">
        <v>11</v>
      </c>
      <c r="D42" s="25" t="str">
        <f t="shared" si="10"/>
        <v>Agr</v>
      </c>
      <c r="E42" s="5">
        <v>0.35214837075990457</v>
      </c>
      <c r="F42" s="6">
        <v>0.48083150088067539</v>
      </c>
      <c r="G42" s="6">
        <v>0.54248305189281365</v>
      </c>
      <c r="H42" s="6">
        <v>0.42036737225086895</v>
      </c>
      <c r="I42" s="6">
        <v>0.55309703312036218</v>
      </c>
      <c r="J42" s="6">
        <v>0.29794582387163238</v>
      </c>
      <c r="K42" s="6">
        <v>1.376639107748959</v>
      </c>
      <c r="L42" s="6">
        <v>0.46591316610695016</v>
      </c>
      <c r="M42" s="7">
        <v>0.52551986939858886</v>
      </c>
      <c r="N42" s="16">
        <v>79.000000000000014</v>
      </c>
    </row>
    <row r="43" spans="2:18" x14ac:dyDescent="0.3">
      <c r="C43" s="20" t="s">
        <v>11</v>
      </c>
      <c r="D43" s="25" t="str">
        <f t="shared" si="10"/>
        <v>Ind</v>
      </c>
      <c r="E43" s="5">
        <v>0.18895230008671562</v>
      </c>
      <c r="F43" s="6">
        <v>0.33840247482967128</v>
      </c>
      <c r="G43" s="6">
        <v>0.22055756496026482</v>
      </c>
      <c r="H43" s="6">
        <v>0.28461936418358202</v>
      </c>
      <c r="I43" s="6">
        <v>0.19938770529705943</v>
      </c>
      <c r="J43" s="6">
        <v>0.17239619825796176</v>
      </c>
      <c r="K43" s="6">
        <v>0.26168766921156789</v>
      </c>
      <c r="L43" s="6">
        <v>1.3619713120084544</v>
      </c>
      <c r="M43" s="7">
        <v>0.22783338986208793</v>
      </c>
      <c r="N43" s="16">
        <v>65</v>
      </c>
    </row>
    <row r="44" spans="2:18" x14ac:dyDescent="0.3">
      <c r="C44" s="20" t="s">
        <v>11</v>
      </c>
      <c r="D44" s="25" t="str">
        <f t="shared" si="10"/>
        <v>Serv</v>
      </c>
      <c r="E44" s="9">
        <v>0.32278455821683549</v>
      </c>
      <c r="F44" s="10">
        <v>0.19408333704833722</v>
      </c>
      <c r="G44" s="10">
        <v>0.29864603550568125</v>
      </c>
      <c r="H44" s="10">
        <v>0.27809522164442302</v>
      </c>
      <c r="I44" s="10">
        <v>0.17937871997805888</v>
      </c>
      <c r="J44" s="10">
        <v>0.16864275194250614</v>
      </c>
      <c r="K44" s="10">
        <v>0.1831797159010346</v>
      </c>
      <c r="L44" s="10">
        <v>0.17731814158643994</v>
      </c>
      <c r="M44" s="11">
        <v>1.3178105679183645</v>
      </c>
      <c r="N44" s="16">
        <v>60.000000000000021</v>
      </c>
    </row>
    <row r="45" spans="2:18" ht="15" thickBot="1" x14ac:dyDescent="0.35"/>
    <row r="46" spans="2:18" ht="15" thickBot="1" x14ac:dyDescent="0.35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2:18" x14ac:dyDescent="0.3">
      <c r="B47" s="18"/>
      <c r="C47" s="22" t="s">
        <v>1</v>
      </c>
      <c r="D47" s="28" t="s">
        <v>51</v>
      </c>
      <c r="E47" s="140">
        <f>+IO_sub_model!E47+IO_sub_model!B188+'IO_sub_model - t+1'!B188</f>
        <v>0</v>
      </c>
      <c r="F47" s="35">
        <f>1-E47</f>
        <v>1</v>
      </c>
      <c r="G47" s="1" cm="1">
        <f t="array" ref="G47:G55">+N5:N13</f>
        <v>25</v>
      </c>
      <c r="H47" s="3">
        <f>+G47*F47</f>
        <v>25</v>
      </c>
      <c r="I47" s="18"/>
      <c r="J47" s="22" t="s">
        <v>1</v>
      </c>
      <c r="K47" s="28" t="s">
        <v>51</v>
      </c>
      <c r="L47" s="140">
        <f>+IO_sub_model!L47</f>
        <v>0.2</v>
      </c>
      <c r="M47" s="35">
        <f>1-L47</f>
        <v>0.8</v>
      </c>
      <c r="N47" s="1" cm="1">
        <f t="array" ref="N47:N55">+O5:O13</f>
        <v>71</v>
      </c>
      <c r="O47" s="3">
        <f>+N47*M47</f>
        <v>56.800000000000004</v>
      </c>
      <c r="P47" s="18"/>
      <c r="Q47" s="18"/>
      <c r="R47" s="18"/>
    </row>
    <row r="48" spans="2:18" x14ac:dyDescent="0.3">
      <c r="B48" s="18"/>
      <c r="C48" s="20" t="s">
        <v>1</v>
      </c>
      <c r="D48" s="25" t="s">
        <v>52</v>
      </c>
      <c r="E48" s="141">
        <f>+IO_sub_model!E48+IO_sub_model!B189+'IO_sub_model - t+1'!B189</f>
        <v>0.39717425431711156</v>
      </c>
      <c r="F48" s="36">
        <f t="shared" ref="F48:F55" si="11">1-E48</f>
        <v>0.60282574568288849</v>
      </c>
      <c r="G48" s="5">
        <v>7</v>
      </c>
      <c r="H48" s="7">
        <f t="shared" ref="H48:H55" si="12">+G48*F48</f>
        <v>4.219780219780219</v>
      </c>
      <c r="I48" s="18"/>
      <c r="J48" s="20" t="s">
        <v>1</v>
      </c>
      <c r="K48" s="25" t="s">
        <v>52</v>
      </c>
      <c r="L48" s="141">
        <f>+IO_sub_model!L48</f>
        <v>0</v>
      </c>
      <c r="M48" s="36">
        <f t="shared" ref="M48:M55" si="13">1-L48</f>
        <v>1</v>
      </c>
      <c r="N48" s="5">
        <v>55</v>
      </c>
      <c r="O48" s="7">
        <f t="shared" ref="O48:O55" si="14">+N48*M48</f>
        <v>55</v>
      </c>
      <c r="P48" s="18"/>
    </row>
    <row r="49" spans="1:16" x14ac:dyDescent="0.3">
      <c r="B49" s="18"/>
      <c r="C49" s="20" t="s">
        <v>1</v>
      </c>
      <c r="D49" s="25" t="s">
        <v>53</v>
      </c>
      <c r="E49" s="141">
        <f>+IO_sub_model!E49+IO_sub_model!B190+'IO_sub_model - t+1'!B190</f>
        <v>0.17522335264136457</v>
      </c>
      <c r="F49" s="36">
        <f t="shared" si="11"/>
        <v>0.82477664735863543</v>
      </c>
      <c r="G49" s="5">
        <v>14</v>
      </c>
      <c r="H49" s="7">
        <f t="shared" si="12"/>
        <v>11.546873063020897</v>
      </c>
      <c r="I49" s="18"/>
      <c r="J49" s="20" t="s">
        <v>1</v>
      </c>
      <c r="K49" s="25" t="s">
        <v>53</v>
      </c>
      <c r="L49" s="141">
        <f>+IO_sub_model!L49</f>
        <v>0</v>
      </c>
      <c r="M49" s="36">
        <f t="shared" si="13"/>
        <v>1</v>
      </c>
      <c r="N49" s="5">
        <v>47</v>
      </c>
      <c r="O49" s="7">
        <f t="shared" si="14"/>
        <v>47</v>
      </c>
      <c r="P49" s="18"/>
    </row>
    <row r="50" spans="1:16" x14ac:dyDescent="0.3">
      <c r="B50" s="18"/>
      <c r="C50" s="20" t="s">
        <v>10</v>
      </c>
      <c r="D50" s="25" t="str">
        <f>+D47</f>
        <v>Agr</v>
      </c>
      <c r="E50" s="141">
        <f>+IO_sub_model!E50+IO_sub_model!B191+'IO_sub_model - t+1'!B191</f>
        <v>0.60212929266265969</v>
      </c>
      <c r="F50" s="36">
        <f t="shared" si="11"/>
        <v>0.39787070733734031</v>
      </c>
      <c r="G50" s="5">
        <v>10</v>
      </c>
      <c r="H50" s="7">
        <f t="shared" si="12"/>
        <v>3.9787070733734033</v>
      </c>
      <c r="I50" s="18"/>
      <c r="J50" s="20" t="s">
        <v>10</v>
      </c>
      <c r="K50" s="25" t="str">
        <f>+K47</f>
        <v>Agr</v>
      </c>
      <c r="L50" s="141">
        <f>+IO_sub_model!L50</f>
        <v>0</v>
      </c>
      <c r="M50" s="36">
        <f t="shared" si="13"/>
        <v>1</v>
      </c>
      <c r="N50" s="5">
        <v>82</v>
      </c>
      <c r="O50" s="7">
        <f t="shared" si="14"/>
        <v>82</v>
      </c>
      <c r="P50" s="18"/>
    </row>
    <row r="51" spans="1:16" x14ac:dyDescent="0.3">
      <c r="B51" s="18"/>
      <c r="C51" s="20" t="s">
        <v>10</v>
      </c>
      <c r="D51" s="25" t="str">
        <f t="shared" ref="D51:D55" si="15">+D48</f>
        <v>Ind</v>
      </c>
      <c r="E51" s="141">
        <f>+IO_sub_model!E51+IO_sub_model!B192+'IO_sub_model - t+1'!B192</f>
        <v>0.51214782487511112</v>
      </c>
      <c r="F51" s="36">
        <f t="shared" si="11"/>
        <v>0.48785217512488888</v>
      </c>
      <c r="G51" s="5">
        <v>5</v>
      </c>
      <c r="H51" s="7">
        <f t="shared" si="12"/>
        <v>2.4392608756244445</v>
      </c>
      <c r="I51" s="18"/>
      <c r="J51" s="20" t="s">
        <v>10</v>
      </c>
      <c r="K51" s="25" t="str">
        <f t="shared" ref="K51:K55" si="16">+K48</f>
        <v>Ind</v>
      </c>
      <c r="L51" s="141">
        <f>+IO_sub_model!L51</f>
        <v>0</v>
      </c>
      <c r="M51" s="36">
        <f t="shared" si="13"/>
        <v>1</v>
      </c>
      <c r="N51" s="5">
        <v>50</v>
      </c>
      <c r="O51" s="7">
        <f t="shared" si="14"/>
        <v>50</v>
      </c>
      <c r="P51" s="18"/>
    </row>
    <row r="52" spans="1:16" x14ac:dyDescent="0.3">
      <c r="B52" s="18"/>
      <c r="C52" s="20" t="s">
        <v>10</v>
      </c>
      <c r="D52" s="25" t="str">
        <f t="shared" si="15"/>
        <v>Serv</v>
      </c>
      <c r="E52" s="141">
        <f>+IO_sub_model!E52+IO_sub_model!B193+'IO_sub_model - t+1'!B193</f>
        <v>0.13901098901098941</v>
      </c>
      <c r="F52" s="36">
        <f t="shared" si="11"/>
        <v>0.86098901098901059</v>
      </c>
      <c r="G52" s="5">
        <v>20</v>
      </c>
      <c r="H52" s="7">
        <f t="shared" si="12"/>
        <v>17.219780219780212</v>
      </c>
      <c r="I52" s="18"/>
      <c r="J52" s="20" t="s">
        <v>10</v>
      </c>
      <c r="K52" s="25" t="str">
        <f t="shared" si="16"/>
        <v>Serv</v>
      </c>
      <c r="L52" s="141">
        <f>+IO_sub_model!L52</f>
        <v>0</v>
      </c>
      <c r="M52" s="36">
        <f t="shared" si="13"/>
        <v>1</v>
      </c>
      <c r="N52" s="5">
        <v>55</v>
      </c>
      <c r="O52" s="7">
        <f t="shared" si="14"/>
        <v>55</v>
      </c>
      <c r="P52" s="18"/>
    </row>
    <row r="53" spans="1:16" x14ac:dyDescent="0.3">
      <c r="B53" s="18"/>
      <c r="C53" s="20" t="s">
        <v>11</v>
      </c>
      <c r="D53" s="25" t="str">
        <f t="shared" si="15"/>
        <v>Agr</v>
      </c>
      <c r="E53" s="141">
        <f>+IO_sub_model!E53+IO_sub_model!B194+'IO_sub_model - t+1'!B194</f>
        <v>0.36369209089757149</v>
      </c>
      <c r="F53" s="36">
        <f t="shared" si="11"/>
        <v>0.63630790910242851</v>
      </c>
      <c r="G53" s="5">
        <v>15</v>
      </c>
      <c r="H53" s="7">
        <f t="shared" si="12"/>
        <v>9.5446186365364269</v>
      </c>
      <c r="I53" s="18"/>
      <c r="J53" s="20" t="s">
        <v>11</v>
      </c>
      <c r="K53" s="25" t="str">
        <f t="shared" si="16"/>
        <v>Agr</v>
      </c>
      <c r="L53" s="141">
        <f>+IO_sub_model!L53</f>
        <v>0</v>
      </c>
      <c r="M53" s="36">
        <f t="shared" si="13"/>
        <v>1</v>
      </c>
      <c r="N53" s="5">
        <v>79</v>
      </c>
      <c r="O53" s="7">
        <f t="shared" si="14"/>
        <v>79</v>
      </c>
      <c r="P53" s="18"/>
    </row>
    <row r="54" spans="1:16" x14ac:dyDescent="0.3">
      <c r="B54" s="18"/>
      <c r="C54" s="20" t="s">
        <v>11</v>
      </c>
      <c r="D54" s="25" t="str">
        <f t="shared" si="15"/>
        <v>Ind</v>
      </c>
      <c r="E54" s="141">
        <f>+IO_sub_model!E54+IO_sub_model!B195+'IO_sub_model - t+1'!B195</f>
        <v>0.11877431139289232</v>
      </c>
      <c r="F54" s="36">
        <f t="shared" si="11"/>
        <v>0.8812256886071077</v>
      </c>
      <c r="G54" s="5">
        <v>28</v>
      </c>
      <c r="H54" s="7">
        <f t="shared" si="12"/>
        <v>24.674319280999015</v>
      </c>
      <c r="I54" s="18"/>
      <c r="J54" s="20" t="s">
        <v>11</v>
      </c>
      <c r="K54" s="25" t="str">
        <f t="shared" si="16"/>
        <v>Ind</v>
      </c>
      <c r="L54" s="141">
        <f>+IO_sub_model!L54</f>
        <v>0</v>
      </c>
      <c r="M54" s="36">
        <f t="shared" si="13"/>
        <v>1</v>
      </c>
      <c r="N54" s="5">
        <v>65</v>
      </c>
      <c r="O54" s="7">
        <f t="shared" si="14"/>
        <v>65</v>
      </c>
      <c r="P54" s="18"/>
    </row>
    <row r="55" spans="1:16" x14ac:dyDescent="0.3">
      <c r="B55" s="18"/>
      <c r="C55" s="20" t="s">
        <v>11</v>
      </c>
      <c r="D55" s="25" t="str">
        <f t="shared" si="15"/>
        <v>Serv</v>
      </c>
      <c r="E55" s="142">
        <f>+IO_sub_model!E55+IO_sub_model!B196+'IO_sub_model - t+1'!B196</f>
        <v>0.12637362637362562</v>
      </c>
      <c r="F55" s="37">
        <f t="shared" si="11"/>
        <v>0.87362637362637441</v>
      </c>
      <c r="G55" s="9">
        <v>24</v>
      </c>
      <c r="H55" s="11">
        <f t="shared" si="12"/>
        <v>20.967032967032985</v>
      </c>
      <c r="I55" s="18"/>
      <c r="J55" s="20" t="s">
        <v>11</v>
      </c>
      <c r="K55" s="25" t="str">
        <f t="shared" si="16"/>
        <v>Serv</v>
      </c>
      <c r="L55" s="142">
        <f>+IO_sub_model!L55</f>
        <v>0</v>
      </c>
      <c r="M55" s="37">
        <f t="shared" si="13"/>
        <v>1</v>
      </c>
      <c r="N55" s="9">
        <v>60</v>
      </c>
      <c r="O55" s="11">
        <f t="shared" si="14"/>
        <v>60</v>
      </c>
      <c r="P55" s="18"/>
    </row>
    <row r="56" spans="1:16" x14ac:dyDescent="0.3">
      <c r="G56" s="13">
        <f t="shared" ref="G56:H56" si="17">SUM(G47:G55)</f>
        <v>148</v>
      </c>
      <c r="H56" s="15">
        <f t="shared" si="17"/>
        <v>119.5903723361476</v>
      </c>
      <c r="N56" s="13">
        <f t="shared" ref="N56:O56" si="18">SUM(N47:N55)</f>
        <v>564</v>
      </c>
      <c r="O56" s="15">
        <f t="shared" si="18"/>
        <v>549.79999999999995</v>
      </c>
    </row>
    <row r="57" spans="1:16" x14ac:dyDescent="0.3">
      <c r="H57" s="18">
        <f>+H56-G56</f>
        <v>-28.409627663852405</v>
      </c>
      <c r="O57" s="18">
        <f>+O56-N56</f>
        <v>-14.200000000000045</v>
      </c>
    </row>
    <row r="58" spans="1:16" x14ac:dyDescent="0.3">
      <c r="A58" s="66"/>
    </row>
    <row r="59" spans="1:16" x14ac:dyDescent="0.3">
      <c r="A59" s="68" t="s">
        <v>30</v>
      </c>
      <c r="E59" s="20" t="s">
        <v>20</v>
      </c>
      <c r="F59" s="20" t="str" cm="1">
        <f t="array" ref="F59:F68">+O46:O55</f>
        <v>x_max</v>
      </c>
      <c r="G59" s="20" t="s">
        <v>3</v>
      </c>
    </row>
    <row r="60" spans="1:16" x14ac:dyDescent="0.3">
      <c r="A60" s="67"/>
      <c r="C60" s="20" t="s">
        <v>1</v>
      </c>
      <c r="D60" s="28" t="s">
        <v>51</v>
      </c>
      <c r="E60" s="4" cm="1">
        <f t="array" ref="E60:E68">+MMULT(_xlfn.ANCHORARRAY(E36),H47:H55)</f>
        <v>63.225690844509501</v>
      </c>
      <c r="F60" s="4">
        <v>56.800000000000004</v>
      </c>
      <c r="G60" s="40">
        <f>+MIN(F60/E60,1)</f>
        <v>0.89836898958823319</v>
      </c>
      <c r="H60" s="18"/>
      <c r="I60" s="18"/>
    </row>
    <row r="61" spans="1:16" x14ac:dyDescent="0.3">
      <c r="C61" s="20" t="s">
        <v>1</v>
      </c>
      <c r="D61" s="25" t="s">
        <v>52</v>
      </c>
      <c r="E61" s="8">
        <v>43.931688556926275</v>
      </c>
      <c r="F61" s="8">
        <v>55</v>
      </c>
      <c r="G61" s="41">
        <f t="shared" ref="G61:G68" si="19">+MIN(F61/E61,1)</f>
        <v>1</v>
      </c>
      <c r="H61" s="18"/>
      <c r="I61" s="18"/>
    </row>
    <row r="62" spans="1:16" x14ac:dyDescent="0.3">
      <c r="C62" s="20" t="s">
        <v>1</v>
      </c>
      <c r="D62" s="25" t="s">
        <v>53</v>
      </c>
      <c r="E62" s="8">
        <v>37.940507373651187</v>
      </c>
      <c r="F62" s="8">
        <v>47</v>
      </c>
      <c r="G62" s="41">
        <f t="shared" si="19"/>
        <v>1</v>
      </c>
      <c r="H62" s="18"/>
      <c r="I62" s="18"/>
    </row>
    <row r="63" spans="1:16" x14ac:dyDescent="0.3">
      <c r="C63" s="20" t="s">
        <v>10</v>
      </c>
      <c r="D63" s="25" t="str">
        <f>+D60</f>
        <v>Agr</v>
      </c>
      <c r="E63" s="8">
        <v>62.579323790651387</v>
      </c>
      <c r="F63" s="8">
        <v>82</v>
      </c>
      <c r="G63" s="41">
        <f t="shared" si="19"/>
        <v>1</v>
      </c>
      <c r="H63" s="18"/>
      <c r="I63" s="18"/>
    </row>
    <row r="64" spans="1:16" x14ac:dyDescent="0.3">
      <c r="C64" s="20" t="s">
        <v>10</v>
      </c>
      <c r="D64" s="25" t="str">
        <f t="shared" ref="D64:D68" si="20">+D61</f>
        <v>Ind</v>
      </c>
      <c r="E64" s="8">
        <v>38.689901482305842</v>
      </c>
      <c r="F64" s="8">
        <v>50</v>
      </c>
      <c r="G64" s="41">
        <f t="shared" si="19"/>
        <v>1</v>
      </c>
      <c r="H64" s="18"/>
      <c r="I64" s="18"/>
    </row>
    <row r="65" spans="1:22" x14ac:dyDescent="0.3">
      <c r="C65" s="20" t="s">
        <v>10</v>
      </c>
      <c r="D65" s="25" t="str">
        <f t="shared" si="20"/>
        <v>Serv</v>
      </c>
      <c r="E65" s="8">
        <v>45.791263799799161</v>
      </c>
      <c r="F65" s="8">
        <v>55</v>
      </c>
      <c r="G65" s="41">
        <f t="shared" si="19"/>
        <v>1</v>
      </c>
      <c r="H65" s="18"/>
      <c r="I65" s="18"/>
    </row>
    <row r="66" spans="1:22" x14ac:dyDescent="0.3">
      <c r="C66" s="20" t="s">
        <v>11</v>
      </c>
      <c r="D66" s="25" t="str">
        <f t="shared" si="20"/>
        <v>Agr</v>
      </c>
      <c r="E66" s="8">
        <v>60.903101587543546</v>
      </c>
      <c r="F66" s="8">
        <v>79</v>
      </c>
      <c r="G66" s="41">
        <f t="shared" si="19"/>
        <v>1</v>
      </c>
      <c r="H66" s="18"/>
      <c r="I66" s="18"/>
    </row>
    <row r="67" spans="1:22" x14ac:dyDescent="0.3">
      <c r="C67" s="20" t="s">
        <v>11</v>
      </c>
      <c r="D67" s="25" t="str">
        <f t="shared" si="20"/>
        <v>Ind</v>
      </c>
      <c r="E67" s="8">
        <v>54.166356333095166</v>
      </c>
      <c r="F67" s="8">
        <v>65</v>
      </c>
      <c r="G67" s="41">
        <f t="shared" si="19"/>
        <v>1</v>
      </c>
      <c r="H67" s="18"/>
      <c r="I67" s="18"/>
    </row>
    <row r="68" spans="1:22" x14ac:dyDescent="0.3">
      <c r="C68" s="20" t="s">
        <v>11</v>
      </c>
      <c r="D68" s="25" t="str">
        <f t="shared" si="20"/>
        <v>Serv</v>
      </c>
      <c r="E68" s="12">
        <v>50.539195479834362</v>
      </c>
      <c r="F68" s="12">
        <v>60</v>
      </c>
      <c r="G68" s="42">
        <f t="shared" si="19"/>
        <v>1</v>
      </c>
      <c r="H68" s="18"/>
      <c r="I68" s="18"/>
    </row>
    <row r="69" spans="1:22" x14ac:dyDescent="0.3">
      <c r="A69" s="66"/>
    </row>
    <row r="70" spans="1:22" x14ac:dyDescent="0.3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22" x14ac:dyDescent="0.3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22" x14ac:dyDescent="0.3">
      <c r="C72" t="s">
        <v>25</v>
      </c>
      <c r="D72" s="20" t="s">
        <v>4</v>
      </c>
      <c r="E72" s="43" cm="1">
        <f t="array" ref="E72">+MIN(_xlfn._xlws.FILTER($G$60:$G$68,E21:E29&gt;0))</f>
        <v>0.89836898958823319</v>
      </c>
      <c r="F72" s="44" cm="1">
        <f t="array" ref="F72">+MIN(_xlfn._xlws.FILTER($G$60:$G$68,F21:F29&gt;0))</f>
        <v>0.89836898958823319</v>
      </c>
      <c r="G72" s="44" cm="1">
        <f t="array" ref="G72">+MIN(_xlfn._xlws.FILTER($G$60:$G$68,G21:G29&gt;0))</f>
        <v>0.89836898958823319</v>
      </c>
      <c r="H72" s="44" cm="1">
        <f t="array" ref="H72">+MIN(_xlfn._xlws.FILTER($G$60:$G$68,H21:H29&gt;0))</f>
        <v>0.89836898958823319</v>
      </c>
      <c r="I72" s="44" cm="1">
        <f t="array" ref="I72">+MIN(_xlfn._xlws.FILTER($G$60:$G$68,I21:I29&gt;0))</f>
        <v>1</v>
      </c>
      <c r="J72" s="44" cm="1">
        <f t="array" ref="J72">+MIN(_xlfn._xlws.FILTER($G$60:$G$68,J21:J29&gt;0))</f>
        <v>0.89836898958823319</v>
      </c>
      <c r="K72" s="44" cm="1">
        <f t="array" ref="K72">+MIN(_xlfn._xlws.FILTER($G$60:$G$68,K21:K29&gt;0))</f>
        <v>0.89836898958823319</v>
      </c>
      <c r="L72" s="44" cm="1">
        <f t="array" ref="L72">+MIN(_xlfn._xlws.FILTER($G$60:$G$68,L21:L29&gt;0))</f>
        <v>0.89836898958823319</v>
      </c>
      <c r="M72" s="45" cm="1">
        <f t="array" ref="M72">+MIN(_xlfn._xlws.FILTER($G$60:$G$68,M21:M29&gt;0))</f>
        <v>0.89836898958823319</v>
      </c>
    </row>
    <row r="73" spans="1:22" ht="15" thickBot="1" x14ac:dyDescent="0.35">
      <c r="C73" t="s">
        <v>26</v>
      </c>
      <c r="D73" s="49" t="s">
        <v>18</v>
      </c>
      <c r="E73" s="50" cm="1">
        <f t="array" ref="E73:M73">+TRANSPOSE(M47:M55)</f>
        <v>0.8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22" x14ac:dyDescent="0.3">
      <c r="D74" s="22" t="s">
        <v>22</v>
      </c>
      <c r="E74" s="46">
        <f>+MIN(E72:E73)</f>
        <v>0.8</v>
      </c>
      <c r="F74" s="47">
        <f t="shared" ref="F74:M74" si="21">+MIN(F72:F73)</f>
        <v>0.89836898958823319</v>
      </c>
      <c r="G74" s="47">
        <f t="shared" si="21"/>
        <v>0.89836898958823319</v>
      </c>
      <c r="H74" s="47">
        <f t="shared" si="21"/>
        <v>0.89836898958823319</v>
      </c>
      <c r="I74" s="47">
        <f t="shared" si="21"/>
        <v>1</v>
      </c>
      <c r="J74" s="47">
        <f t="shared" si="21"/>
        <v>0.89836898958823319</v>
      </c>
      <c r="K74" s="47">
        <f t="shared" si="21"/>
        <v>0.89836898958823319</v>
      </c>
      <c r="L74" s="47">
        <f t="shared" si="21"/>
        <v>0.89836898958823319</v>
      </c>
      <c r="M74" s="48">
        <f t="shared" si="21"/>
        <v>0.89836898958823319</v>
      </c>
    </row>
    <row r="75" spans="1:22" x14ac:dyDescent="0.3">
      <c r="A75" s="66"/>
    </row>
    <row r="76" spans="1:22" ht="15" thickBot="1" x14ac:dyDescent="0.35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22" ht="15" thickBot="1" x14ac:dyDescent="0.35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22" x14ac:dyDescent="0.3">
      <c r="B78" s="63" cm="1">
        <f t="array" ref="B78:B86">+TRANSPOSE(E74:M74)</f>
        <v>0.8</v>
      </c>
      <c r="C78" s="20" t="s">
        <v>1</v>
      </c>
      <c r="D78" s="28" t="s">
        <v>51</v>
      </c>
      <c r="E78" s="1">
        <f>+E5*$B78</f>
        <v>8</v>
      </c>
      <c r="F78" s="2">
        <f t="shared" ref="F78:M78" si="22">+F5*$B78</f>
        <v>4</v>
      </c>
      <c r="G78" s="2">
        <f t="shared" si="22"/>
        <v>8</v>
      </c>
      <c r="H78" s="2">
        <f t="shared" si="22"/>
        <v>0.8</v>
      </c>
      <c r="I78" s="2">
        <f t="shared" si="22"/>
        <v>0</v>
      </c>
      <c r="J78" s="2">
        <f t="shared" si="22"/>
        <v>6.4</v>
      </c>
      <c r="K78" s="2">
        <f t="shared" si="22"/>
        <v>2.4000000000000004</v>
      </c>
      <c r="L78" s="2">
        <f t="shared" si="22"/>
        <v>5.6000000000000005</v>
      </c>
      <c r="M78" s="3">
        <f t="shared" si="22"/>
        <v>1.6</v>
      </c>
      <c r="N78" s="18"/>
      <c r="O78" s="18"/>
      <c r="P78" s="18"/>
      <c r="Q78" s="18"/>
      <c r="R78" s="18"/>
      <c r="S78" s="18"/>
      <c r="T78" s="18"/>
      <c r="U78" s="18"/>
      <c r="V78" s="18"/>
    </row>
    <row r="79" spans="1:22" x14ac:dyDescent="0.3">
      <c r="B79" s="30">
        <v>0.89836898958823319</v>
      </c>
      <c r="C79" s="20" t="s">
        <v>1</v>
      </c>
      <c r="D79" s="25" t="s">
        <v>52</v>
      </c>
      <c r="E79" s="5">
        <f t="shared" ref="E79:M86" si="23">+E6*$B79</f>
        <v>7.1869519167058655</v>
      </c>
      <c r="F79" s="6">
        <f t="shared" si="23"/>
        <v>2.6951069687646996</v>
      </c>
      <c r="G79" s="6">
        <f t="shared" si="23"/>
        <v>8.0853209062940987</v>
      </c>
      <c r="H79" s="6">
        <f t="shared" si="23"/>
        <v>3.5934759583529328</v>
      </c>
      <c r="I79" s="6">
        <f t="shared" si="23"/>
        <v>1.7967379791764664</v>
      </c>
      <c r="J79" s="6">
        <f t="shared" si="23"/>
        <v>8.9836898958823319</v>
      </c>
      <c r="K79" s="6">
        <f t="shared" si="23"/>
        <v>0.89836898958823319</v>
      </c>
      <c r="L79" s="6">
        <f t="shared" si="23"/>
        <v>3.5934759583529328</v>
      </c>
      <c r="M79" s="7">
        <f t="shared" si="23"/>
        <v>6.2885829271176323</v>
      </c>
      <c r="N79" s="18"/>
      <c r="O79" s="18"/>
      <c r="P79" s="18"/>
      <c r="Q79" s="18"/>
      <c r="R79" s="18"/>
      <c r="S79" s="18"/>
      <c r="T79" s="18"/>
      <c r="U79" s="18"/>
      <c r="V79" s="18"/>
    </row>
    <row r="80" spans="1:22" x14ac:dyDescent="0.3">
      <c r="B80" s="30">
        <v>0.89836898958823319</v>
      </c>
      <c r="C80" s="20" t="s">
        <v>1</v>
      </c>
      <c r="D80" s="25" t="s">
        <v>53</v>
      </c>
      <c r="E80" s="5">
        <f t="shared" si="23"/>
        <v>0</v>
      </c>
      <c r="F80" s="6">
        <f t="shared" si="23"/>
        <v>0</v>
      </c>
      <c r="G80" s="6">
        <f t="shared" si="23"/>
        <v>0</v>
      </c>
      <c r="H80" s="6">
        <f t="shared" si="23"/>
        <v>6.2885829271176323</v>
      </c>
      <c r="I80" s="6">
        <f t="shared" si="23"/>
        <v>3.5934759583529328</v>
      </c>
      <c r="J80" s="6">
        <f t="shared" si="23"/>
        <v>3.5934759583529328</v>
      </c>
      <c r="K80" s="6">
        <f t="shared" si="23"/>
        <v>6.2885829271176323</v>
      </c>
      <c r="L80" s="6">
        <f t="shared" si="23"/>
        <v>3.5934759583529328</v>
      </c>
      <c r="M80" s="7">
        <f t="shared" si="23"/>
        <v>6.2885829271176323</v>
      </c>
      <c r="N80" s="18"/>
      <c r="O80" s="18"/>
      <c r="P80" s="18"/>
      <c r="Q80" s="18"/>
      <c r="R80" s="18"/>
      <c r="S80" s="18"/>
      <c r="T80" s="18"/>
      <c r="U80" s="18"/>
      <c r="V80" s="18"/>
    </row>
    <row r="81" spans="1:22" x14ac:dyDescent="0.3">
      <c r="B81" s="30">
        <v>0.89836898958823319</v>
      </c>
      <c r="C81" s="20" t="s">
        <v>10</v>
      </c>
      <c r="D81" s="25" t="str">
        <f>+D78</f>
        <v>Agr</v>
      </c>
      <c r="E81" s="5">
        <f t="shared" si="23"/>
        <v>8.0853209062940987</v>
      </c>
      <c r="F81" s="6">
        <f t="shared" si="23"/>
        <v>4.491844947941166</v>
      </c>
      <c r="G81" s="6">
        <f t="shared" si="23"/>
        <v>3.5934759583529328</v>
      </c>
      <c r="H81" s="6">
        <f t="shared" si="23"/>
        <v>6.2885829271176323</v>
      </c>
      <c r="I81" s="6">
        <f t="shared" si="23"/>
        <v>8.9836898958823319</v>
      </c>
      <c r="J81" s="6">
        <f t="shared" si="23"/>
        <v>8.0853209062940987</v>
      </c>
      <c r="K81" s="6">
        <f t="shared" si="23"/>
        <v>8.9836898958823319</v>
      </c>
      <c r="L81" s="6">
        <f t="shared" si="23"/>
        <v>8.0853209062940987</v>
      </c>
      <c r="M81" s="7">
        <f t="shared" si="23"/>
        <v>8.0853209062940987</v>
      </c>
      <c r="N81" s="18"/>
      <c r="O81" s="18"/>
      <c r="P81" s="18"/>
      <c r="Q81" s="18"/>
      <c r="R81" s="18"/>
      <c r="S81" s="18"/>
      <c r="T81" s="18"/>
      <c r="U81" s="18"/>
      <c r="V81" s="18"/>
    </row>
    <row r="82" spans="1:22" x14ac:dyDescent="0.3">
      <c r="B82" s="30">
        <v>1</v>
      </c>
      <c r="C82" s="20" t="s">
        <v>10</v>
      </c>
      <c r="D82" s="25" t="str">
        <f t="shared" ref="D82:D86" si="24">+D79</f>
        <v>Ind</v>
      </c>
      <c r="E82" s="5">
        <f t="shared" si="23"/>
        <v>4</v>
      </c>
      <c r="F82" s="6">
        <f t="shared" si="23"/>
        <v>2</v>
      </c>
      <c r="G82" s="6">
        <f t="shared" si="23"/>
        <v>3</v>
      </c>
      <c r="H82" s="6">
        <f t="shared" si="23"/>
        <v>6</v>
      </c>
      <c r="I82" s="6">
        <f t="shared" si="23"/>
        <v>7</v>
      </c>
      <c r="J82" s="6">
        <f t="shared" si="23"/>
        <v>4</v>
      </c>
      <c r="K82" s="6">
        <f t="shared" si="23"/>
        <v>9</v>
      </c>
      <c r="L82" s="6">
        <f t="shared" si="23"/>
        <v>2</v>
      </c>
      <c r="M82" s="7">
        <f t="shared" si="23"/>
        <v>8</v>
      </c>
      <c r="N82" s="18"/>
      <c r="O82" s="18"/>
      <c r="P82" s="18"/>
      <c r="Q82" s="18"/>
      <c r="R82" s="18"/>
      <c r="S82" s="18"/>
      <c r="T82" s="18"/>
      <c r="U82" s="18"/>
      <c r="V82" s="18"/>
    </row>
    <row r="83" spans="1:22" x14ac:dyDescent="0.3">
      <c r="B83" s="30">
        <v>0.89836898958823319</v>
      </c>
      <c r="C83" s="20" t="s">
        <v>10</v>
      </c>
      <c r="D83" s="25" t="str">
        <f t="shared" si="24"/>
        <v>Serv</v>
      </c>
      <c r="E83" s="5">
        <f t="shared" si="23"/>
        <v>5.3902139375293991</v>
      </c>
      <c r="F83" s="6">
        <f t="shared" si="23"/>
        <v>4.491844947941166</v>
      </c>
      <c r="G83" s="6">
        <f t="shared" si="23"/>
        <v>3.5934759583529328</v>
      </c>
      <c r="H83" s="6">
        <f t="shared" si="23"/>
        <v>0.89836898958823319</v>
      </c>
      <c r="I83" s="6">
        <f t="shared" si="23"/>
        <v>8.0853209062940987</v>
      </c>
      <c r="J83" s="6">
        <f t="shared" si="23"/>
        <v>1.7967379791764664</v>
      </c>
      <c r="K83" s="6">
        <f t="shared" si="23"/>
        <v>0.89836898958823319</v>
      </c>
      <c r="L83" s="6">
        <f t="shared" si="23"/>
        <v>5.3902139375293991</v>
      </c>
      <c r="M83" s="7">
        <f t="shared" si="23"/>
        <v>0.89836898958823319</v>
      </c>
      <c r="N83" s="18"/>
      <c r="O83" s="18"/>
      <c r="P83" s="18"/>
      <c r="Q83" s="18"/>
      <c r="R83" s="18"/>
      <c r="S83" s="18"/>
      <c r="T83" s="18"/>
      <c r="U83" s="18"/>
      <c r="V83" s="18"/>
    </row>
    <row r="84" spans="1:22" x14ac:dyDescent="0.3">
      <c r="B84" s="30">
        <v>0.89836898958823319</v>
      </c>
      <c r="C84" s="20" t="s">
        <v>11</v>
      </c>
      <c r="D84" s="25" t="str">
        <f t="shared" si="24"/>
        <v>Agr</v>
      </c>
      <c r="E84" s="5">
        <f t="shared" si="23"/>
        <v>2.6951069687646996</v>
      </c>
      <c r="F84" s="6">
        <f t="shared" si="23"/>
        <v>8.9836898958823319</v>
      </c>
      <c r="G84" s="6">
        <f t="shared" si="23"/>
        <v>7.1869519167058655</v>
      </c>
      <c r="H84" s="6">
        <f t="shared" si="23"/>
        <v>8.0853209062940987</v>
      </c>
      <c r="I84" s="6">
        <f t="shared" si="23"/>
        <v>8.9836898958823319</v>
      </c>
      <c r="J84" s="6">
        <f t="shared" si="23"/>
        <v>0</v>
      </c>
      <c r="K84" s="6">
        <f t="shared" si="23"/>
        <v>6.2885829271176323</v>
      </c>
      <c r="L84" s="6">
        <f t="shared" si="23"/>
        <v>8.0853209062940987</v>
      </c>
      <c r="M84" s="7">
        <f t="shared" si="23"/>
        <v>7.1869519167058655</v>
      </c>
      <c r="N84" s="18"/>
      <c r="O84" s="18"/>
      <c r="P84" s="18"/>
      <c r="Q84" s="18"/>
      <c r="R84" s="18"/>
      <c r="S84" s="18"/>
      <c r="T84" s="18"/>
      <c r="U84" s="18"/>
      <c r="V84" s="18"/>
    </row>
    <row r="85" spans="1:22" x14ac:dyDescent="0.3">
      <c r="B85" s="30">
        <v>0.89836898958823319</v>
      </c>
      <c r="C85" s="20" t="s">
        <v>11</v>
      </c>
      <c r="D85" s="25" t="str">
        <f t="shared" si="24"/>
        <v>Ind</v>
      </c>
      <c r="E85" s="5">
        <f t="shared" si="23"/>
        <v>0.89836898958823319</v>
      </c>
      <c r="F85" s="6">
        <f t="shared" si="23"/>
        <v>7.1869519167058655</v>
      </c>
      <c r="G85" s="6">
        <f t="shared" si="23"/>
        <v>0</v>
      </c>
      <c r="H85" s="6">
        <f t="shared" si="23"/>
        <v>8.0853209062940987</v>
      </c>
      <c r="I85" s="6">
        <f t="shared" si="23"/>
        <v>0</v>
      </c>
      <c r="J85" s="6">
        <f t="shared" si="23"/>
        <v>0</v>
      </c>
      <c r="K85" s="6">
        <f t="shared" si="23"/>
        <v>7.1869519167058655</v>
      </c>
      <c r="L85" s="6">
        <f t="shared" si="23"/>
        <v>8.9836898958823319</v>
      </c>
      <c r="M85" s="7">
        <f t="shared" si="23"/>
        <v>0.89836898958823319</v>
      </c>
      <c r="N85" s="18"/>
      <c r="O85" s="18"/>
      <c r="P85" s="18"/>
      <c r="Q85" s="18"/>
      <c r="R85" s="18"/>
      <c r="S85" s="18"/>
      <c r="T85" s="18"/>
      <c r="U85" s="18"/>
      <c r="V85" s="18"/>
    </row>
    <row r="86" spans="1:22" x14ac:dyDescent="0.3">
      <c r="B86" s="31">
        <v>0.89836898958823319</v>
      </c>
      <c r="C86" s="20" t="s">
        <v>11</v>
      </c>
      <c r="D86" s="25" t="str">
        <f t="shared" si="24"/>
        <v>Serv</v>
      </c>
      <c r="E86" s="9">
        <f t="shared" si="23"/>
        <v>8.9836898958823319</v>
      </c>
      <c r="F86" s="10">
        <f t="shared" si="23"/>
        <v>1.7967379791764664</v>
      </c>
      <c r="G86" s="10">
        <f t="shared" si="23"/>
        <v>3.5934759583529328</v>
      </c>
      <c r="H86" s="10">
        <f t="shared" si="23"/>
        <v>8.9836898958823319</v>
      </c>
      <c r="I86" s="10">
        <f t="shared" si="23"/>
        <v>0</v>
      </c>
      <c r="J86" s="10">
        <f t="shared" si="23"/>
        <v>0</v>
      </c>
      <c r="K86" s="10">
        <f t="shared" si="23"/>
        <v>2.6951069687646996</v>
      </c>
      <c r="L86" s="10">
        <f t="shared" si="23"/>
        <v>0</v>
      </c>
      <c r="M86" s="11">
        <f t="shared" si="23"/>
        <v>6.2885829271176323</v>
      </c>
      <c r="N86" s="18"/>
      <c r="O86" s="18"/>
      <c r="P86" s="18"/>
      <c r="Q86" s="18"/>
      <c r="R86" s="18"/>
      <c r="S86" s="18"/>
      <c r="T86" s="18"/>
      <c r="U86" s="18"/>
      <c r="V86" s="18"/>
    </row>
    <row r="87" spans="1:22" x14ac:dyDescent="0.3">
      <c r="N87" s="19">
        <f>+SUM(E78:M86)</f>
        <v>373.76992161617585</v>
      </c>
    </row>
    <row r="88" spans="1:22" x14ac:dyDescent="0.3">
      <c r="D88" s="20" t="str" cm="1">
        <f t="array" ref="D88:M89">+TRANSPOSE(E59:F68)</f>
        <v>x_md</v>
      </c>
      <c r="E88" s="43">
        <v>63.225690844509501</v>
      </c>
      <c r="F88" s="44">
        <v>43.931688556926275</v>
      </c>
      <c r="G88" s="44">
        <v>37.940507373651187</v>
      </c>
      <c r="H88" s="44">
        <v>62.579323790651387</v>
      </c>
      <c r="I88" s="44">
        <v>38.689901482305842</v>
      </c>
      <c r="J88" s="44">
        <v>45.791263799799161</v>
      </c>
      <c r="K88" s="44">
        <v>60.903101587543546</v>
      </c>
      <c r="L88" s="44">
        <v>54.166356333095166</v>
      </c>
      <c r="M88" s="45">
        <v>50.539195479834362</v>
      </c>
    </row>
    <row r="89" spans="1:22" ht="15" thickBot="1" x14ac:dyDescent="0.35">
      <c r="D89" s="49" t="str">
        <v>x_max</v>
      </c>
      <c r="E89" s="50">
        <v>56.800000000000004</v>
      </c>
      <c r="F89" s="51">
        <v>55</v>
      </c>
      <c r="G89" s="51">
        <v>47</v>
      </c>
      <c r="H89" s="51">
        <v>82</v>
      </c>
      <c r="I89" s="51">
        <v>50</v>
      </c>
      <c r="J89" s="51">
        <v>55</v>
      </c>
      <c r="K89" s="51">
        <v>79</v>
      </c>
      <c r="L89" s="51">
        <v>65</v>
      </c>
      <c r="M89" s="52">
        <v>60</v>
      </c>
    </row>
    <row r="90" spans="1:22" x14ac:dyDescent="0.3">
      <c r="D90" s="22" t="s">
        <v>60</v>
      </c>
      <c r="E90" s="46">
        <f>+MIN(E88:E89)</f>
        <v>56.800000000000004</v>
      </c>
      <c r="F90" s="47">
        <f t="shared" ref="F90:M90" si="25">+MIN(F88:F89)</f>
        <v>43.931688556926275</v>
      </c>
      <c r="G90" s="47">
        <f t="shared" si="25"/>
        <v>37.940507373651187</v>
      </c>
      <c r="H90" s="47">
        <f t="shared" si="25"/>
        <v>62.579323790651387</v>
      </c>
      <c r="I90" s="47">
        <f t="shared" si="25"/>
        <v>38.689901482305842</v>
      </c>
      <c r="J90" s="47">
        <f t="shared" si="25"/>
        <v>45.791263799799161</v>
      </c>
      <c r="K90" s="47">
        <f t="shared" si="25"/>
        <v>60.903101587543546</v>
      </c>
      <c r="L90" s="47">
        <f t="shared" si="25"/>
        <v>54.166356333095166</v>
      </c>
      <c r="M90" s="48">
        <f t="shared" si="25"/>
        <v>50.539195479834362</v>
      </c>
      <c r="N90" s="19">
        <f>+SUM(E90:M90)</f>
        <v>451.3413384038069</v>
      </c>
    </row>
    <row r="91" spans="1:22" x14ac:dyDescent="0.3">
      <c r="A91" s="66"/>
    </row>
    <row r="92" spans="1:22" ht="15" thickBot="1" x14ac:dyDescent="0.35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22" ht="72.599999999999994" thickBot="1" x14ac:dyDescent="0.35">
      <c r="A93" s="67"/>
      <c r="C93" s="98" t="s">
        <v>54</v>
      </c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22" x14ac:dyDescent="0.3">
      <c r="C94" s="20" t="s">
        <v>1</v>
      </c>
      <c r="D94" s="28" t="s">
        <v>51</v>
      </c>
      <c r="E94" s="1">
        <f>+E21*E$88</f>
        <v>8.9050268795083802</v>
      </c>
      <c r="F94" s="2">
        <f t="shared" ref="F94:M94" si="26">+F21*F$88</f>
        <v>3.9937898688114797</v>
      </c>
      <c r="G94" s="2">
        <f t="shared" si="26"/>
        <v>8.0724483773725932</v>
      </c>
      <c r="H94" s="2">
        <f t="shared" si="26"/>
        <v>0.76316248525184616</v>
      </c>
      <c r="I94" s="2">
        <f t="shared" si="26"/>
        <v>0</v>
      </c>
      <c r="J94" s="2">
        <f t="shared" si="26"/>
        <v>6.6605474617889682</v>
      </c>
      <c r="K94" s="2">
        <f t="shared" si="26"/>
        <v>2.3127760096535526</v>
      </c>
      <c r="L94" s="2">
        <f t="shared" si="26"/>
        <v>5.8332999127948639</v>
      </c>
      <c r="M94" s="3">
        <f t="shared" si="26"/>
        <v>1.6846398493278121</v>
      </c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3">
      <c r="C95" s="20" t="s">
        <v>1</v>
      </c>
      <c r="D95" s="25" t="s">
        <v>52</v>
      </c>
      <c r="E95" s="5">
        <f t="shared" ref="E95:M102" si="27">+E22*E$88</f>
        <v>7.1240215036067047</v>
      </c>
      <c r="F95" s="6">
        <f t="shared" si="27"/>
        <v>2.3962739212868875</v>
      </c>
      <c r="G95" s="6">
        <f t="shared" si="27"/>
        <v>7.2652035396353334</v>
      </c>
      <c r="H95" s="6">
        <f t="shared" si="27"/>
        <v>3.0526499410073846</v>
      </c>
      <c r="I95" s="6">
        <f t="shared" si="27"/>
        <v>1.5475960592922338</v>
      </c>
      <c r="J95" s="6">
        <f t="shared" si="27"/>
        <v>8.3256843272362104</v>
      </c>
      <c r="K95" s="6">
        <f t="shared" si="27"/>
        <v>0.77092533655118411</v>
      </c>
      <c r="L95" s="6">
        <f t="shared" si="27"/>
        <v>3.3333142358827796</v>
      </c>
      <c r="M95" s="7">
        <f t="shared" si="27"/>
        <v>5.8962394726473422</v>
      </c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3">
      <c r="C96" s="20" t="s">
        <v>1</v>
      </c>
      <c r="D96" s="25" t="s">
        <v>53</v>
      </c>
      <c r="E96" s="5">
        <f t="shared" si="27"/>
        <v>0</v>
      </c>
      <c r="F96" s="6">
        <f t="shared" si="27"/>
        <v>0</v>
      </c>
      <c r="G96" s="6">
        <f t="shared" si="27"/>
        <v>0</v>
      </c>
      <c r="H96" s="6">
        <f t="shared" si="27"/>
        <v>5.342137396762924</v>
      </c>
      <c r="I96" s="6">
        <f t="shared" si="27"/>
        <v>3.0951921185844675</v>
      </c>
      <c r="J96" s="6">
        <f t="shared" si="27"/>
        <v>3.3302737308944841</v>
      </c>
      <c r="K96" s="6">
        <f t="shared" si="27"/>
        <v>5.3964773558582886</v>
      </c>
      <c r="L96" s="6">
        <f t="shared" si="27"/>
        <v>3.3333142358827796</v>
      </c>
      <c r="M96" s="7">
        <f t="shared" si="27"/>
        <v>5.8962394726473422</v>
      </c>
      <c r="N96" s="19"/>
      <c r="O96" s="19"/>
      <c r="P96" s="19"/>
      <c r="Q96" s="19"/>
      <c r="R96" s="19"/>
      <c r="S96" s="19"/>
      <c r="T96" s="19"/>
      <c r="U96" s="19"/>
      <c r="V96" s="19"/>
    </row>
    <row r="97" spans="3:36" x14ac:dyDescent="0.3">
      <c r="C97" s="20" t="s">
        <v>10</v>
      </c>
      <c r="D97" s="25" t="str">
        <f>+D94</f>
        <v>Agr</v>
      </c>
      <c r="E97" s="5">
        <f t="shared" si="27"/>
        <v>8.0145241915575429</v>
      </c>
      <c r="F97" s="6">
        <f t="shared" si="27"/>
        <v>3.9937898688114797</v>
      </c>
      <c r="G97" s="6">
        <f t="shared" si="27"/>
        <v>3.2289793509490372</v>
      </c>
      <c r="H97" s="6">
        <f t="shared" si="27"/>
        <v>5.342137396762924</v>
      </c>
      <c r="I97" s="6">
        <f t="shared" si="27"/>
        <v>7.7379802964611688</v>
      </c>
      <c r="J97" s="6">
        <f t="shared" si="27"/>
        <v>7.4931158945125897</v>
      </c>
      <c r="K97" s="6">
        <f t="shared" si="27"/>
        <v>7.7092533655118416</v>
      </c>
      <c r="L97" s="6">
        <f t="shared" si="27"/>
        <v>7.4999570307362537</v>
      </c>
      <c r="M97" s="7">
        <f t="shared" si="27"/>
        <v>7.5808793219751536</v>
      </c>
      <c r="N97" s="19"/>
      <c r="O97" s="19"/>
      <c r="P97" s="19"/>
      <c r="Q97" s="19"/>
      <c r="R97" s="19"/>
      <c r="S97" s="19"/>
      <c r="T97" s="19"/>
      <c r="U97" s="19"/>
      <c r="V97" s="19"/>
    </row>
    <row r="98" spans="3:36" x14ac:dyDescent="0.3">
      <c r="C98" s="20" t="s">
        <v>10</v>
      </c>
      <c r="D98" s="25" t="str">
        <f t="shared" ref="D98:D102" si="28">+D95</f>
        <v>Ind</v>
      </c>
      <c r="E98" s="5">
        <f t="shared" si="27"/>
        <v>3.5620107518033524</v>
      </c>
      <c r="F98" s="6">
        <f t="shared" si="27"/>
        <v>1.5975159475245917</v>
      </c>
      <c r="G98" s="6">
        <f t="shared" si="27"/>
        <v>2.4217345132117778</v>
      </c>
      <c r="H98" s="6">
        <f t="shared" si="27"/>
        <v>4.5789749115110769</v>
      </c>
      <c r="I98" s="6">
        <f t="shared" si="27"/>
        <v>5.4165862075228182</v>
      </c>
      <c r="J98" s="6">
        <f t="shared" si="27"/>
        <v>3.3302737308944841</v>
      </c>
      <c r="K98" s="6">
        <f t="shared" si="27"/>
        <v>6.9383280289606573</v>
      </c>
      <c r="L98" s="6">
        <f t="shared" si="27"/>
        <v>1.6666571179413898</v>
      </c>
      <c r="M98" s="7">
        <f t="shared" si="27"/>
        <v>6.7385593973112483</v>
      </c>
      <c r="N98" s="19"/>
      <c r="O98" s="19"/>
      <c r="P98" s="19"/>
      <c r="Q98" s="19"/>
      <c r="R98" s="19"/>
      <c r="S98" s="19"/>
      <c r="T98" s="19"/>
      <c r="U98" s="19"/>
      <c r="V98" s="19"/>
    </row>
    <row r="99" spans="3:36" x14ac:dyDescent="0.3">
      <c r="C99" s="20" t="s">
        <v>10</v>
      </c>
      <c r="D99" s="25" t="str">
        <f t="shared" si="28"/>
        <v>Serv</v>
      </c>
      <c r="E99" s="5">
        <f t="shared" si="27"/>
        <v>5.3430161277050283</v>
      </c>
      <c r="F99" s="6">
        <f t="shared" si="27"/>
        <v>3.9937898688114797</v>
      </c>
      <c r="G99" s="6">
        <f t="shared" si="27"/>
        <v>3.2289793509490372</v>
      </c>
      <c r="H99" s="6">
        <f t="shared" si="27"/>
        <v>0.76316248525184616</v>
      </c>
      <c r="I99" s="6">
        <f t="shared" si="27"/>
        <v>6.964182266815051</v>
      </c>
      <c r="J99" s="6">
        <f t="shared" si="27"/>
        <v>1.665136865447242</v>
      </c>
      <c r="K99" s="6">
        <f t="shared" si="27"/>
        <v>0.77092533655118411</v>
      </c>
      <c r="L99" s="6">
        <f t="shared" si="27"/>
        <v>4.9999713538241695</v>
      </c>
      <c r="M99" s="7">
        <f t="shared" si="27"/>
        <v>0.84231992466390604</v>
      </c>
      <c r="N99" s="19"/>
      <c r="O99" s="19"/>
      <c r="P99" s="19"/>
      <c r="Q99" s="19"/>
      <c r="R99" s="19"/>
      <c r="S99" s="19"/>
      <c r="T99" s="19"/>
      <c r="U99" s="19"/>
      <c r="V99" s="19"/>
    </row>
    <row r="100" spans="3:36" x14ac:dyDescent="0.3">
      <c r="C100" s="20" t="s">
        <v>11</v>
      </c>
      <c r="D100" s="25" t="str">
        <f t="shared" si="28"/>
        <v>Agr</v>
      </c>
      <c r="E100" s="5">
        <f t="shared" si="27"/>
        <v>2.6715080638525142</v>
      </c>
      <c r="F100" s="6">
        <f t="shared" si="27"/>
        <v>7.9875797376229594</v>
      </c>
      <c r="G100" s="6">
        <f t="shared" si="27"/>
        <v>6.4579587018980744</v>
      </c>
      <c r="H100" s="6">
        <f t="shared" si="27"/>
        <v>6.8684623672666154</v>
      </c>
      <c r="I100" s="6">
        <f t="shared" si="27"/>
        <v>7.7379802964611688</v>
      </c>
      <c r="J100" s="6">
        <f t="shared" si="27"/>
        <v>0</v>
      </c>
      <c r="K100" s="6">
        <f t="shared" si="27"/>
        <v>5.3964773558582886</v>
      </c>
      <c r="L100" s="6">
        <f t="shared" si="27"/>
        <v>7.4999570307362537</v>
      </c>
      <c r="M100" s="7">
        <f t="shared" si="27"/>
        <v>6.7385593973112483</v>
      </c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3:36" x14ac:dyDescent="0.3">
      <c r="C101" s="20" t="s">
        <v>11</v>
      </c>
      <c r="D101" s="25" t="str">
        <f t="shared" si="28"/>
        <v>Ind</v>
      </c>
      <c r="E101" s="5">
        <f t="shared" si="27"/>
        <v>0.89050268795083809</v>
      </c>
      <c r="F101" s="6">
        <f t="shared" si="27"/>
        <v>6.3900637900983668</v>
      </c>
      <c r="G101" s="6">
        <f t="shared" si="27"/>
        <v>0</v>
      </c>
      <c r="H101" s="6">
        <f t="shared" si="27"/>
        <v>6.8684623672666154</v>
      </c>
      <c r="I101" s="6">
        <f t="shared" si="27"/>
        <v>0</v>
      </c>
      <c r="J101" s="6">
        <f t="shared" si="27"/>
        <v>0</v>
      </c>
      <c r="K101" s="6">
        <f t="shared" si="27"/>
        <v>6.1674026924094729</v>
      </c>
      <c r="L101" s="6">
        <f t="shared" si="27"/>
        <v>8.3332855897069482</v>
      </c>
      <c r="M101" s="7">
        <f t="shared" si="27"/>
        <v>0.84231992466390604</v>
      </c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3:36" x14ac:dyDescent="0.3">
      <c r="C102" s="20" t="s">
        <v>11</v>
      </c>
      <c r="D102" s="25" t="str">
        <f t="shared" si="28"/>
        <v>Serv</v>
      </c>
      <c r="E102" s="9">
        <f t="shared" si="27"/>
        <v>8.9050268795083802</v>
      </c>
      <c r="F102" s="10">
        <f t="shared" si="27"/>
        <v>1.5975159475245917</v>
      </c>
      <c r="G102" s="10">
        <f t="shared" si="27"/>
        <v>3.2289793509490372</v>
      </c>
      <c r="H102" s="10">
        <f t="shared" si="27"/>
        <v>7.6316248525184616</v>
      </c>
      <c r="I102" s="10">
        <f t="shared" si="27"/>
        <v>0</v>
      </c>
      <c r="J102" s="10">
        <f t="shared" si="27"/>
        <v>0</v>
      </c>
      <c r="K102" s="10">
        <f t="shared" si="27"/>
        <v>2.3127760096535526</v>
      </c>
      <c r="L102" s="10">
        <f t="shared" si="27"/>
        <v>0</v>
      </c>
      <c r="M102" s="11">
        <f t="shared" si="27"/>
        <v>5.8962394726473422</v>
      </c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3:36" x14ac:dyDescent="0.3">
      <c r="N103" s="19">
        <f>+SUM(E94:M102)</f>
        <v>338.17665691216882</v>
      </c>
    </row>
    <row r="104" spans="3:36" ht="15" thickBot="1" x14ac:dyDescent="0.35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36" ht="15" thickBot="1" x14ac:dyDescent="0.35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36" x14ac:dyDescent="0.3">
      <c r="C106" s="20" t="s">
        <v>1</v>
      </c>
      <c r="D106" s="28" t="s">
        <v>51</v>
      </c>
      <c r="E106" s="1">
        <f>+MAX(E94-E78,0)</f>
        <v>0.90502687950838023</v>
      </c>
      <c r="F106" s="2">
        <f t="shared" ref="F106:M106" si="29">+MAX(F94-F78,0)</f>
        <v>0</v>
      </c>
      <c r="G106" s="2">
        <f t="shared" si="29"/>
        <v>7.2448377372593242E-2</v>
      </c>
      <c r="H106" s="2">
        <f t="shared" si="29"/>
        <v>0</v>
      </c>
      <c r="I106" s="2">
        <f t="shared" si="29"/>
        <v>0</v>
      </c>
      <c r="J106" s="2">
        <f t="shared" si="29"/>
        <v>0.26054746178896782</v>
      </c>
      <c r="K106" s="2">
        <f t="shared" si="29"/>
        <v>0</v>
      </c>
      <c r="L106" s="2">
        <f t="shared" si="29"/>
        <v>0.2332999127948634</v>
      </c>
      <c r="M106" s="3">
        <f t="shared" si="29"/>
        <v>8.4639849327811989E-2</v>
      </c>
      <c r="N106" s="53">
        <f>+SUM(E106:M106)</f>
        <v>1.5559624807926167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6"/>
      <c r="Y106" s="16"/>
      <c r="Z106" s="16"/>
      <c r="AA106" s="16"/>
      <c r="AB106" s="16"/>
      <c r="AC106" s="16"/>
      <c r="AD106" s="16"/>
      <c r="AE106" s="16"/>
      <c r="AF106" s="16"/>
      <c r="AG106" s="18"/>
      <c r="AH106" s="18"/>
      <c r="AI106" s="18"/>
      <c r="AJ106" s="18"/>
    </row>
    <row r="107" spans="3:36" x14ac:dyDescent="0.3">
      <c r="C107" s="20" t="s">
        <v>1</v>
      </c>
      <c r="D107" s="25" t="s">
        <v>52</v>
      </c>
      <c r="E107" s="5">
        <f t="shared" ref="E107:M114" si="30">+MAX(E95-E79,0)</f>
        <v>0</v>
      </c>
      <c r="F107" s="6">
        <f t="shared" si="30"/>
        <v>0</v>
      </c>
      <c r="G107" s="6">
        <f t="shared" si="30"/>
        <v>0</v>
      </c>
      <c r="H107" s="6">
        <f t="shared" si="30"/>
        <v>0</v>
      </c>
      <c r="I107" s="6">
        <f t="shared" si="30"/>
        <v>0</v>
      </c>
      <c r="J107" s="6">
        <f t="shared" si="30"/>
        <v>0</v>
      </c>
      <c r="K107" s="6">
        <f t="shared" si="30"/>
        <v>0</v>
      </c>
      <c r="L107" s="6">
        <f t="shared" si="30"/>
        <v>0</v>
      </c>
      <c r="M107" s="7">
        <f t="shared" si="30"/>
        <v>0</v>
      </c>
      <c r="N107" s="8">
        <f t="shared" ref="N107:N114" si="31">+SUM(E107:M107)</f>
        <v>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6"/>
      <c r="Y107" s="16"/>
      <c r="Z107" s="16"/>
      <c r="AA107" s="16"/>
      <c r="AB107" s="16"/>
      <c r="AC107" s="16"/>
      <c r="AD107" s="16"/>
      <c r="AE107" s="16"/>
      <c r="AF107" s="16"/>
      <c r="AG107" s="18"/>
      <c r="AH107" s="18"/>
      <c r="AI107" s="18"/>
      <c r="AJ107" s="18"/>
    </row>
    <row r="108" spans="3:36" x14ac:dyDescent="0.3">
      <c r="C108" s="20" t="s">
        <v>1</v>
      </c>
      <c r="D108" s="25" t="s">
        <v>53</v>
      </c>
      <c r="E108" s="5">
        <f t="shared" si="30"/>
        <v>0</v>
      </c>
      <c r="F108" s="6">
        <f t="shared" si="30"/>
        <v>0</v>
      </c>
      <c r="G108" s="6">
        <f t="shared" si="30"/>
        <v>0</v>
      </c>
      <c r="H108" s="6">
        <f t="shared" si="30"/>
        <v>0</v>
      </c>
      <c r="I108" s="6">
        <f t="shared" si="30"/>
        <v>0</v>
      </c>
      <c r="J108" s="6">
        <f t="shared" si="30"/>
        <v>0</v>
      </c>
      <c r="K108" s="6">
        <f t="shared" si="30"/>
        <v>0</v>
      </c>
      <c r="L108" s="6">
        <f t="shared" si="30"/>
        <v>0</v>
      </c>
      <c r="M108" s="7">
        <f t="shared" si="30"/>
        <v>0</v>
      </c>
      <c r="N108" s="8">
        <f t="shared" si="31"/>
        <v>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6"/>
      <c r="Y108" s="16"/>
      <c r="Z108" s="16"/>
      <c r="AA108" s="16"/>
      <c r="AB108" s="16"/>
      <c r="AC108" s="16"/>
      <c r="AD108" s="16"/>
      <c r="AE108" s="16"/>
      <c r="AF108" s="16"/>
      <c r="AG108" s="18"/>
      <c r="AH108" s="18"/>
      <c r="AI108" s="18"/>
      <c r="AJ108" s="18"/>
    </row>
    <row r="109" spans="3:36" x14ac:dyDescent="0.3">
      <c r="C109" s="20" t="s">
        <v>10</v>
      </c>
      <c r="D109" s="25" t="str">
        <f>+D106</f>
        <v>Agr</v>
      </c>
      <c r="E109" s="5">
        <f t="shared" si="30"/>
        <v>0</v>
      </c>
      <c r="F109" s="6">
        <f t="shared" si="30"/>
        <v>0</v>
      </c>
      <c r="G109" s="6">
        <f t="shared" si="30"/>
        <v>0</v>
      </c>
      <c r="H109" s="6">
        <f t="shared" si="30"/>
        <v>0</v>
      </c>
      <c r="I109" s="6">
        <f t="shared" si="30"/>
        <v>0</v>
      </c>
      <c r="J109" s="6">
        <f t="shared" si="30"/>
        <v>0</v>
      </c>
      <c r="K109" s="6">
        <f t="shared" si="30"/>
        <v>0</v>
      </c>
      <c r="L109" s="6">
        <f t="shared" si="30"/>
        <v>0</v>
      </c>
      <c r="M109" s="7">
        <f t="shared" si="30"/>
        <v>0</v>
      </c>
      <c r="N109" s="8">
        <f t="shared" si="31"/>
        <v>0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6"/>
      <c r="Y109" s="16"/>
      <c r="Z109" s="16"/>
      <c r="AA109" s="16"/>
      <c r="AB109" s="16"/>
      <c r="AC109" s="16"/>
      <c r="AD109" s="16"/>
      <c r="AE109" s="16"/>
      <c r="AF109" s="16"/>
      <c r="AG109" s="18"/>
      <c r="AH109" s="18"/>
      <c r="AI109" s="18"/>
      <c r="AJ109" s="18"/>
    </row>
    <row r="110" spans="3:36" x14ac:dyDescent="0.3">
      <c r="C110" s="20" t="s">
        <v>10</v>
      </c>
      <c r="D110" s="25" t="str">
        <f t="shared" ref="D110:D114" si="32">+D107</f>
        <v>Ind</v>
      </c>
      <c r="E110" s="5">
        <f t="shared" si="30"/>
        <v>0</v>
      </c>
      <c r="F110" s="6">
        <f t="shared" si="30"/>
        <v>0</v>
      </c>
      <c r="G110" s="6">
        <f t="shared" si="30"/>
        <v>0</v>
      </c>
      <c r="H110" s="6">
        <f t="shared" si="30"/>
        <v>0</v>
      </c>
      <c r="I110" s="6">
        <f t="shared" si="30"/>
        <v>0</v>
      </c>
      <c r="J110" s="6">
        <f t="shared" si="30"/>
        <v>0</v>
      </c>
      <c r="K110" s="6">
        <f t="shared" si="30"/>
        <v>0</v>
      </c>
      <c r="L110" s="6">
        <f t="shared" si="30"/>
        <v>0</v>
      </c>
      <c r="M110" s="7">
        <f t="shared" si="30"/>
        <v>0</v>
      </c>
      <c r="N110" s="8">
        <f t="shared" si="31"/>
        <v>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6"/>
      <c r="Y110" s="16"/>
      <c r="Z110" s="16"/>
      <c r="AA110" s="16"/>
      <c r="AB110" s="16"/>
      <c r="AC110" s="16"/>
      <c r="AD110" s="16"/>
      <c r="AE110" s="16"/>
      <c r="AF110" s="16"/>
      <c r="AG110" s="18"/>
      <c r="AH110" s="18"/>
      <c r="AI110" s="18"/>
      <c r="AJ110" s="18"/>
    </row>
    <row r="111" spans="3:36" x14ac:dyDescent="0.3">
      <c r="C111" s="20" t="s">
        <v>10</v>
      </c>
      <c r="D111" s="25" t="str">
        <f t="shared" si="32"/>
        <v>Serv</v>
      </c>
      <c r="E111" s="5">
        <f t="shared" si="30"/>
        <v>0</v>
      </c>
      <c r="F111" s="6">
        <f t="shared" si="30"/>
        <v>0</v>
      </c>
      <c r="G111" s="6">
        <f t="shared" si="30"/>
        <v>0</v>
      </c>
      <c r="H111" s="6">
        <f t="shared" si="30"/>
        <v>0</v>
      </c>
      <c r="I111" s="6">
        <f t="shared" si="30"/>
        <v>0</v>
      </c>
      <c r="J111" s="6">
        <f t="shared" si="30"/>
        <v>0</v>
      </c>
      <c r="K111" s="6">
        <f t="shared" si="30"/>
        <v>0</v>
      </c>
      <c r="L111" s="6">
        <f t="shared" si="30"/>
        <v>0</v>
      </c>
      <c r="M111" s="7">
        <f t="shared" si="30"/>
        <v>0</v>
      </c>
      <c r="N111" s="8">
        <f t="shared" si="31"/>
        <v>0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6"/>
      <c r="Y111" s="16"/>
      <c r="Z111" s="16"/>
      <c r="AA111" s="16"/>
      <c r="AB111" s="16"/>
      <c r="AC111" s="16"/>
      <c r="AD111" s="16"/>
      <c r="AE111" s="16"/>
      <c r="AF111" s="16"/>
      <c r="AG111" s="18"/>
      <c r="AH111" s="18"/>
      <c r="AI111" s="18"/>
      <c r="AJ111" s="18"/>
    </row>
    <row r="112" spans="3:36" x14ac:dyDescent="0.3">
      <c r="C112" s="20" t="s">
        <v>11</v>
      </c>
      <c r="D112" s="25" t="str">
        <f t="shared" si="32"/>
        <v>Agr</v>
      </c>
      <c r="E112" s="5">
        <f t="shared" si="30"/>
        <v>0</v>
      </c>
      <c r="F112" s="6">
        <f t="shared" si="30"/>
        <v>0</v>
      </c>
      <c r="G112" s="6">
        <f t="shared" si="30"/>
        <v>0</v>
      </c>
      <c r="H112" s="6">
        <f t="shared" si="30"/>
        <v>0</v>
      </c>
      <c r="I112" s="6">
        <f t="shared" si="30"/>
        <v>0</v>
      </c>
      <c r="J112" s="6">
        <f t="shared" si="30"/>
        <v>0</v>
      </c>
      <c r="K112" s="6">
        <f t="shared" si="30"/>
        <v>0</v>
      </c>
      <c r="L112" s="6">
        <f t="shared" si="30"/>
        <v>0</v>
      </c>
      <c r="M112" s="7">
        <f t="shared" si="30"/>
        <v>0</v>
      </c>
      <c r="N112" s="8">
        <f t="shared" si="31"/>
        <v>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6"/>
      <c r="Y112" s="16"/>
      <c r="Z112" s="16"/>
      <c r="AA112" s="16"/>
      <c r="AB112" s="16"/>
      <c r="AC112" s="16"/>
      <c r="AD112" s="16"/>
      <c r="AE112" s="16"/>
      <c r="AF112" s="16"/>
      <c r="AG112" s="18"/>
      <c r="AH112" s="18"/>
      <c r="AI112" s="18"/>
      <c r="AJ112" s="18"/>
    </row>
    <row r="113" spans="1:36" x14ac:dyDescent="0.3">
      <c r="C113" s="20" t="s">
        <v>11</v>
      </c>
      <c r="D113" s="25" t="str">
        <f t="shared" si="32"/>
        <v>Ind</v>
      </c>
      <c r="E113" s="5">
        <f t="shared" si="30"/>
        <v>0</v>
      </c>
      <c r="F113" s="6">
        <f t="shared" si="30"/>
        <v>0</v>
      </c>
      <c r="G113" s="6">
        <f t="shared" si="30"/>
        <v>0</v>
      </c>
      <c r="H113" s="6">
        <f t="shared" si="30"/>
        <v>0</v>
      </c>
      <c r="I113" s="6">
        <f t="shared" si="30"/>
        <v>0</v>
      </c>
      <c r="J113" s="6">
        <f t="shared" si="30"/>
        <v>0</v>
      </c>
      <c r="K113" s="6">
        <f t="shared" si="30"/>
        <v>0</v>
      </c>
      <c r="L113" s="6">
        <f t="shared" si="30"/>
        <v>0</v>
      </c>
      <c r="M113" s="7">
        <f t="shared" si="30"/>
        <v>0</v>
      </c>
      <c r="N113" s="8">
        <f t="shared" si="31"/>
        <v>0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6"/>
      <c r="Y113" s="16"/>
      <c r="Z113" s="16"/>
      <c r="AA113" s="16"/>
      <c r="AB113" s="16"/>
      <c r="AC113" s="16"/>
      <c r="AD113" s="16"/>
      <c r="AE113" s="16"/>
      <c r="AF113" s="16"/>
      <c r="AG113" s="18"/>
      <c r="AH113" s="18"/>
      <c r="AI113" s="18"/>
      <c r="AJ113" s="18"/>
    </row>
    <row r="114" spans="1:36" x14ac:dyDescent="0.3">
      <c r="C114" s="20" t="s">
        <v>11</v>
      </c>
      <c r="D114" s="25" t="str">
        <f t="shared" si="32"/>
        <v>Serv</v>
      </c>
      <c r="E114" s="9">
        <f t="shared" si="30"/>
        <v>0</v>
      </c>
      <c r="F114" s="10">
        <f t="shared" si="30"/>
        <v>0</v>
      </c>
      <c r="G114" s="10">
        <f t="shared" si="30"/>
        <v>0</v>
      </c>
      <c r="H114" s="10">
        <f t="shared" si="30"/>
        <v>0</v>
      </c>
      <c r="I114" s="10">
        <f t="shared" si="30"/>
        <v>0</v>
      </c>
      <c r="J114" s="10">
        <f t="shared" si="30"/>
        <v>0</v>
      </c>
      <c r="K114" s="10">
        <f t="shared" si="30"/>
        <v>0</v>
      </c>
      <c r="L114" s="10">
        <f t="shared" si="30"/>
        <v>0</v>
      </c>
      <c r="M114" s="11">
        <f t="shared" si="30"/>
        <v>0</v>
      </c>
      <c r="N114" s="12">
        <f t="shared" si="31"/>
        <v>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6"/>
      <c r="Y114" s="16"/>
      <c r="Z114" s="16"/>
      <c r="AA114" s="16"/>
      <c r="AB114" s="16"/>
      <c r="AC114" s="16"/>
      <c r="AD114" s="16"/>
      <c r="AE114" s="16"/>
      <c r="AF114" s="16"/>
      <c r="AG114" s="18"/>
      <c r="AH114" s="18"/>
      <c r="AI114" s="18"/>
      <c r="AJ114" s="18"/>
    </row>
    <row r="115" spans="1:36" x14ac:dyDescent="0.3">
      <c r="C115" s="57"/>
      <c r="D115" s="57"/>
      <c r="E115" s="13">
        <f t="shared" ref="E115:M115" si="33">SUM(E105:E114)</f>
        <v>0.90502687950838023</v>
      </c>
      <c r="F115" s="14">
        <f t="shared" si="33"/>
        <v>0</v>
      </c>
      <c r="G115" s="14">
        <f t="shared" si="33"/>
        <v>7.2448377372593242E-2</v>
      </c>
      <c r="H115" s="14">
        <f t="shared" si="33"/>
        <v>0</v>
      </c>
      <c r="I115" s="14">
        <f t="shared" si="33"/>
        <v>0</v>
      </c>
      <c r="J115" s="14">
        <f t="shared" si="33"/>
        <v>0.26054746178896782</v>
      </c>
      <c r="K115" s="14">
        <f t="shared" si="33"/>
        <v>0</v>
      </c>
      <c r="L115" s="14">
        <f t="shared" si="33"/>
        <v>0.2332999127948634</v>
      </c>
      <c r="M115" s="15">
        <f t="shared" si="33"/>
        <v>8.4639849327811989E-2</v>
      </c>
      <c r="N115" s="19">
        <f>+SUM(E106:M114)</f>
        <v>1.5559624807926167</v>
      </c>
    </row>
    <row r="116" spans="1:36" x14ac:dyDescent="0.3">
      <c r="A116" s="66"/>
    </row>
    <row r="117" spans="1:36" x14ac:dyDescent="0.3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  <c r="N117" s="57" t="s">
        <v>56</v>
      </c>
      <c r="O117" t="str" cm="1">
        <f t="array" ref="O117:Q117">+TRANSPOSE(_xlfn.UNIQUE($D$118:$D$126))</f>
        <v>Agr</v>
      </c>
      <c r="P117" t="str">
        <v>Ind</v>
      </c>
      <c r="Q117" t="str">
        <v>Serv</v>
      </c>
      <c r="R117" s="100" t="s">
        <v>58</v>
      </c>
    </row>
    <row r="118" spans="1:36" x14ac:dyDescent="0.3">
      <c r="A118" s="67"/>
      <c r="C118" s="20" t="s">
        <v>1</v>
      </c>
      <c r="D118" s="20" t="s">
        <v>51</v>
      </c>
      <c r="E118" s="53">
        <f>+MAX(F60-H47-SUM(E78:M78),0)</f>
        <v>0</v>
      </c>
      <c r="F118" s="53" cm="1">
        <f t="array" ref="F118">+IFERROR(E118/_xlfn.XLOOKUP(D118,_xlfn.ANCHORARRAY($I$118),$K$118:$K$120,,0),1)</f>
        <v>0</v>
      </c>
      <c r="G118" s="53" cm="1">
        <f t="array" ref="G118">+E118/_xlfn.XLOOKUP(D118,_xlfn.ANCHORARRAY($I$118),$J$118:$J$120,,0)</f>
        <v>0</v>
      </c>
      <c r="I118" s="54" t="str" cm="1">
        <f t="array" ref="I118:I120">+_xlfn.UNIQUE(D118:D126)</f>
        <v>Agr</v>
      </c>
      <c r="J118" s="58">
        <f>+SUMIF($D$118:$D$126,I118,$E$118:$E$126)</f>
        <v>25.298491706090459</v>
      </c>
      <c r="K118" s="40">
        <f>+SUMIF($D$106:$D$114,I118,$N$106:$N$114)</f>
        <v>1.5559624807926167</v>
      </c>
      <c r="L118" s="40">
        <f>+IFERROR(MIN(1,J118/K118),1)</f>
        <v>1</v>
      </c>
      <c r="M118" s="18"/>
      <c r="N118" t="str" cm="1">
        <f t="array" ref="N118:N120">+_xlfn.UNIQUE($C$118:$C$126)</f>
        <v>A</v>
      </c>
      <c r="O118" s="16">
        <f>+SUMIFS($E$118:$E$126,$C$118:$C$126,$N118,$D$118:$D$126,O$117)</f>
        <v>0</v>
      </c>
      <c r="P118" s="16">
        <f t="shared" ref="P118:Q118" si="34">+SUMIFS($E$118:$E$126,$C$118:$C$126,$N118,$D$118:$D$126,P$117)</f>
        <v>7.6585082799845878</v>
      </c>
      <c r="Q118" s="16">
        <f t="shared" si="34"/>
        <v>5.8069502805674063</v>
      </c>
      <c r="S118" s="99" cm="1">
        <f t="array" ref="S118:S120">+O118:O120/O121</f>
        <v>0</v>
      </c>
      <c r="T118" s="99" cm="1">
        <f t="array" ref="T118:T120">+P118:P120/P121</f>
        <v>0.44255338646184378</v>
      </c>
      <c r="U118" s="99" cm="1">
        <f t="array" ref="U118:U120">+Q118:Q120/Q121</f>
        <v>0.30829099266329069</v>
      </c>
    </row>
    <row r="119" spans="1:36" x14ac:dyDescent="0.3">
      <c r="C119" s="20" t="s">
        <v>1</v>
      </c>
      <c r="D119" s="20" t="s">
        <v>52</v>
      </c>
      <c r="E119" s="8">
        <f>+MAX(F61-H48-SUM(E79:M79),0)</f>
        <v>7.6585082799845878</v>
      </c>
      <c r="F119" s="8" cm="1">
        <f t="array" ref="F119">+IFERROR(E119/_xlfn.XLOOKUP(D119,_xlfn.ANCHORARRAY($I$118),$K$118:$K$120,,0),1)</f>
        <v>1</v>
      </c>
      <c r="G119" s="8" cm="1">
        <f t="array" ref="G119">+E119/_xlfn.XLOOKUP(D119,_xlfn.ANCHORARRAY($I$118),$J$118:$J$120,,0)</f>
        <v>0.44255338646184378</v>
      </c>
      <c r="I119" s="55" t="str">
        <v>Ind</v>
      </c>
      <c r="J119" s="59">
        <f t="shared" ref="J119:J120" si="35">+SUMIF($D$118:$D$126,I119,$E$118:$E$126)</f>
        <v>17.305275508596502</v>
      </c>
      <c r="K119" s="41">
        <f t="shared" ref="K119:K120" si="36">+SUMIF($D$106:$D$114,I119,$N$106:$N$114)</f>
        <v>0</v>
      </c>
      <c r="L119" s="40">
        <f t="shared" ref="L119:L120" si="37">+IFERROR(MIN(1,J119/K119),1)</f>
        <v>1</v>
      </c>
      <c r="M119" s="18"/>
      <c r="N119" t="str">
        <v>B</v>
      </c>
      <c r="O119" s="16">
        <f t="shared" ref="O119:Q120" si="38">+SUMIFS($E$118:$E$126,$C$118:$C$126,$N119,$D$118:$D$126,O$117)</f>
        <v>13.33872567627381</v>
      </c>
      <c r="P119" s="16">
        <f t="shared" si="38"/>
        <v>2.5607391243755586</v>
      </c>
      <c r="Q119" s="16">
        <f t="shared" si="38"/>
        <v>6.3373051446316282</v>
      </c>
      <c r="S119" s="99">
        <v>0.52725379169788977</v>
      </c>
      <c r="T119" s="99">
        <v>0.14797447882892681</v>
      </c>
      <c r="U119" s="99">
        <v>0.33644753260359606</v>
      </c>
    </row>
    <row r="120" spans="1:36" x14ac:dyDescent="0.3">
      <c r="C120" s="20" t="s">
        <v>1</v>
      </c>
      <c r="D120" s="20" t="s">
        <v>53</v>
      </c>
      <c r="E120" s="8">
        <f>+MAX(F62-H49-SUM(E80:M80),0)</f>
        <v>5.8069502805674063</v>
      </c>
      <c r="F120" s="8" cm="1">
        <f t="array" ref="F120">+IFERROR(E120/_xlfn.XLOOKUP(D120,_xlfn.ANCHORARRAY($I$118),$K$118:$K$120,,0),1)</f>
        <v>1</v>
      </c>
      <c r="G120" s="8" cm="1">
        <f t="array" ref="G120">+E120/_xlfn.XLOOKUP(D120,_xlfn.ANCHORARRAY($I$118),$J$118:$J$120,,0)</f>
        <v>0.30829099266329069</v>
      </c>
      <c r="I120" s="56" t="str">
        <v>Serv</v>
      </c>
      <c r="J120" s="60">
        <f t="shared" si="35"/>
        <v>18.835938832989655</v>
      </c>
      <c r="K120" s="42">
        <f t="shared" si="36"/>
        <v>0</v>
      </c>
      <c r="L120" s="40">
        <f t="shared" si="37"/>
        <v>1</v>
      </c>
      <c r="M120" s="18"/>
      <c r="N120" t="str">
        <v>C</v>
      </c>
      <c r="O120" s="16">
        <f t="shared" si="38"/>
        <v>11.959766029816649</v>
      </c>
      <c r="P120" s="16">
        <f t="shared" si="38"/>
        <v>7.0860281042363553</v>
      </c>
      <c r="Q120" s="16">
        <f t="shared" si="38"/>
        <v>6.6916834077906202</v>
      </c>
      <c r="S120" s="99">
        <v>0.47274620830211023</v>
      </c>
      <c r="T120" s="99">
        <v>0.40947213470922944</v>
      </c>
      <c r="U120" s="99">
        <v>0.3552614747331132</v>
      </c>
    </row>
    <row r="121" spans="1:36" x14ac:dyDescent="0.3">
      <c r="C121" s="20" t="s">
        <v>10</v>
      </c>
      <c r="D121" s="20" t="str">
        <f>+D118</f>
        <v>Agr</v>
      </c>
      <c r="E121" s="8">
        <f>+MAX(F63-H50-SUM(E81:M81),0)</f>
        <v>13.33872567627381</v>
      </c>
      <c r="F121" s="8" cm="1">
        <f t="array" ref="F121">+IFERROR(E121/_xlfn.XLOOKUP(D121,_xlfn.ANCHORARRAY($I$118),$K$118:$K$120,,0),1)</f>
        <v>8.5726525163248049</v>
      </c>
      <c r="G121" s="8" cm="1">
        <f t="array" ref="G121">+E121/_xlfn.XLOOKUP(D121,_xlfn.ANCHORARRAY($I$118),$J$118:$J$120,,0)</f>
        <v>0.52725379169788977</v>
      </c>
      <c r="H121" s="18"/>
      <c r="N121" t="s">
        <v>57</v>
      </c>
      <c r="O121" s="19">
        <f>SUM(O118:O120)</f>
        <v>25.298491706090459</v>
      </c>
      <c r="P121" s="19">
        <f t="shared" ref="P121:Q121" si="39">SUM(P118:P120)</f>
        <v>17.305275508596502</v>
      </c>
      <c r="Q121" s="19">
        <f t="shared" si="39"/>
        <v>18.835938832989655</v>
      </c>
    </row>
    <row r="122" spans="1:36" x14ac:dyDescent="0.3">
      <c r="C122" s="20" t="s">
        <v>10</v>
      </c>
      <c r="D122" s="20" t="str">
        <f t="shared" ref="D122:D126" si="40">+D119</f>
        <v>Ind</v>
      </c>
      <c r="E122" s="8">
        <f t="shared" ref="E122:E126" si="41">+MAX(F64-H51-SUM(E82:M82),0)</f>
        <v>2.5607391243755586</v>
      </c>
      <c r="F122" s="8" cm="1">
        <f t="array" ref="F122">+IFERROR(E122/_xlfn.XLOOKUP(D122,_xlfn.ANCHORARRAY($I$118),$K$118:$K$120,,0),1)</f>
        <v>1</v>
      </c>
      <c r="G122" s="8" cm="1">
        <f t="array" ref="G122">+E122/_xlfn.XLOOKUP(D122,_xlfn.ANCHORARRAY($I$118),$J$118:$J$120,,0)</f>
        <v>0.14797447882892681</v>
      </c>
      <c r="I122" s="20" t="s">
        <v>39</v>
      </c>
    </row>
    <row r="123" spans="1:36" x14ac:dyDescent="0.3">
      <c r="C123" s="20" t="s">
        <v>10</v>
      </c>
      <c r="D123" s="20" t="str">
        <f t="shared" si="40"/>
        <v>Serv</v>
      </c>
      <c r="E123" s="8">
        <f t="shared" si="41"/>
        <v>6.3373051446316282</v>
      </c>
      <c r="F123" s="8" cm="1">
        <f t="array" ref="F123">+IFERROR(E123/_xlfn.XLOOKUP(D123,_xlfn.ANCHORARRAY($I$118),$K$118:$K$120,,0),1)</f>
        <v>1</v>
      </c>
      <c r="G123" s="8" cm="1">
        <f t="array" ref="G123">+E123/_xlfn.XLOOKUP(D123,_xlfn.ANCHORARRAY($I$118),$J$118:$J$120,,0)</f>
        <v>0.33644753260359606</v>
      </c>
      <c r="I123" s="69">
        <v>1</v>
      </c>
    </row>
    <row r="124" spans="1:36" x14ac:dyDescent="0.3">
      <c r="C124" s="20" t="s">
        <v>11</v>
      </c>
      <c r="D124" s="20" t="str">
        <f t="shared" si="40"/>
        <v>Agr</v>
      </c>
      <c r="E124" s="8">
        <f t="shared" si="41"/>
        <v>11.959766029816649</v>
      </c>
      <c r="F124" s="8" cm="1">
        <f t="array" ref="F124">+IFERROR(E124/_xlfn.XLOOKUP(D124,_xlfn.ANCHORARRAY($I$118),$K$118:$K$120,,0),1)</f>
        <v>7.6864102942406891</v>
      </c>
      <c r="G124" s="8" cm="1">
        <f t="array" ref="G124">+E124/_xlfn.XLOOKUP(D124,_xlfn.ANCHORARRAY($I$118),$J$118:$J$120,,0)</f>
        <v>0.47274620830211023</v>
      </c>
    </row>
    <row r="125" spans="1:36" x14ac:dyDescent="0.3">
      <c r="C125" s="20" t="s">
        <v>11</v>
      </c>
      <c r="D125" s="20" t="str">
        <f t="shared" si="40"/>
        <v>Ind</v>
      </c>
      <c r="E125" s="8">
        <f t="shared" si="41"/>
        <v>7.0860281042363553</v>
      </c>
      <c r="F125" s="8" cm="1">
        <f t="array" ref="F125">+IFERROR(E125/_xlfn.XLOOKUP(D125,_xlfn.ANCHORARRAY($I$118),$K$118:$K$120,,0),1)</f>
        <v>1</v>
      </c>
      <c r="G125" s="8" cm="1">
        <f t="array" ref="G125">+E125/_xlfn.XLOOKUP(D125,_xlfn.ANCHORARRAY($I$118),$J$118:$J$120,,0)</f>
        <v>0.40947213470922944</v>
      </c>
    </row>
    <row r="126" spans="1:36" x14ac:dyDescent="0.3">
      <c r="C126" s="20" t="s">
        <v>11</v>
      </c>
      <c r="D126" s="20" t="str">
        <f t="shared" si="40"/>
        <v>Serv</v>
      </c>
      <c r="E126" s="12">
        <f t="shared" si="41"/>
        <v>6.6916834077906202</v>
      </c>
      <c r="F126" s="12" cm="1">
        <f t="array" ref="F126">+IFERROR(E126/_xlfn.XLOOKUP(D126,_xlfn.ANCHORARRAY($I$118),$K$118:$K$120,,0),1)</f>
        <v>1</v>
      </c>
      <c r="G126" s="12" cm="1">
        <f t="array" ref="G126">+E126/_xlfn.XLOOKUP(D126,_xlfn.ANCHORARRAY($I$118),$J$118:$J$120,,0)</f>
        <v>0.3552614747331132</v>
      </c>
    </row>
    <row r="127" spans="1:36" x14ac:dyDescent="0.3">
      <c r="E127" s="19">
        <f>SUM(E118:E126)</f>
        <v>61.439706047676616</v>
      </c>
      <c r="G127" s="19">
        <f>SUM(G118:G126)</f>
        <v>3</v>
      </c>
    </row>
    <row r="128" spans="1:36" ht="15" thickBot="1" x14ac:dyDescent="0.35">
      <c r="A128" s="64"/>
      <c r="E128" s="19"/>
      <c r="G128" s="19"/>
    </row>
    <row r="129" spans="1:24" ht="15" thickBot="1" x14ac:dyDescent="0.35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  <c r="O129" s="109" t="s">
        <v>59</v>
      </c>
      <c r="P129" s="110" t="s">
        <v>1</v>
      </c>
      <c r="Q129" s="110" t="s">
        <v>1</v>
      </c>
      <c r="R129" s="110" t="s">
        <v>1</v>
      </c>
      <c r="S129" s="110" t="s">
        <v>10</v>
      </c>
      <c r="T129" s="110" t="s">
        <v>10</v>
      </c>
      <c r="U129" s="110" t="s">
        <v>10</v>
      </c>
      <c r="V129" s="110" t="s">
        <v>11</v>
      </c>
      <c r="W129" s="110" t="s">
        <v>11</v>
      </c>
      <c r="X129" s="111" t="s">
        <v>11</v>
      </c>
    </row>
    <row r="130" spans="1:24" ht="15" thickBot="1" x14ac:dyDescent="0.35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  <c r="O130" s="112" t="s">
        <v>55</v>
      </c>
      <c r="P130" s="49" t="s">
        <v>51</v>
      </c>
      <c r="Q130" s="49" t="s">
        <v>52</v>
      </c>
      <c r="R130" s="49" t="s">
        <v>53</v>
      </c>
      <c r="S130" s="49" t="s">
        <v>51</v>
      </c>
      <c r="T130" s="49" t="s">
        <v>52</v>
      </c>
      <c r="U130" s="49" t="s">
        <v>53</v>
      </c>
      <c r="V130" s="49" t="s">
        <v>51</v>
      </c>
      <c r="W130" s="49" t="s">
        <v>52</v>
      </c>
      <c r="X130" s="113" t="s">
        <v>53</v>
      </c>
    </row>
    <row r="131" spans="1:24" ht="15" thickBot="1" x14ac:dyDescent="0.35">
      <c r="D131" s="28" t="str" cm="1">
        <f t="array" ref="D131:D133">+_xlfn.UNIQUE(D118:D126)</f>
        <v>Agr</v>
      </c>
      <c r="E131" s="1">
        <f t="shared" ref="E131:M133" si="42">+SUMIF($D$106:$D$114,$D131,E$106:E$114)</f>
        <v>0.90502687950838023</v>
      </c>
      <c r="F131" s="2">
        <f t="shared" si="42"/>
        <v>0</v>
      </c>
      <c r="G131" s="2">
        <f t="shared" si="42"/>
        <v>7.2448377372593242E-2</v>
      </c>
      <c r="H131" s="2">
        <f t="shared" si="42"/>
        <v>0</v>
      </c>
      <c r="I131" s="2">
        <f t="shared" si="42"/>
        <v>0</v>
      </c>
      <c r="J131" s="2">
        <f t="shared" si="42"/>
        <v>0.26054746178896782</v>
      </c>
      <c r="K131" s="2">
        <f t="shared" si="42"/>
        <v>0</v>
      </c>
      <c r="L131" s="2">
        <f t="shared" si="42"/>
        <v>0.2332999127948634</v>
      </c>
      <c r="M131" s="3">
        <f t="shared" si="42"/>
        <v>8.4639849327811989E-2</v>
      </c>
      <c r="O131" s="104">
        <f>+$L118*$I$123</f>
        <v>1</v>
      </c>
      <c r="P131" s="105">
        <f>+$O131*E131</f>
        <v>0.90502687950838023</v>
      </c>
      <c r="Q131" s="105">
        <f t="shared" ref="Q131:X131" si="43">+$O131*F131</f>
        <v>0</v>
      </c>
      <c r="R131" s="105">
        <f t="shared" si="43"/>
        <v>7.2448377372593242E-2</v>
      </c>
      <c r="S131" s="105">
        <f t="shared" si="43"/>
        <v>0</v>
      </c>
      <c r="T131" s="105">
        <f t="shared" si="43"/>
        <v>0</v>
      </c>
      <c r="U131" s="105">
        <f t="shared" si="43"/>
        <v>0.26054746178896782</v>
      </c>
      <c r="V131" s="105">
        <f t="shared" si="43"/>
        <v>0</v>
      </c>
      <c r="W131" s="105">
        <f t="shared" si="43"/>
        <v>0.2332999127948634</v>
      </c>
      <c r="X131" s="106">
        <f t="shared" si="43"/>
        <v>8.4639849327811989E-2</v>
      </c>
    </row>
    <row r="132" spans="1:24" x14ac:dyDescent="0.3">
      <c r="D132" s="25" t="str">
        <v>Ind</v>
      </c>
      <c r="E132" s="5">
        <f t="shared" si="42"/>
        <v>0</v>
      </c>
      <c r="F132" s="6">
        <f t="shared" si="42"/>
        <v>0</v>
      </c>
      <c r="G132" s="6">
        <f t="shared" si="42"/>
        <v>0</v>
      </c>
      <c r="H132" s="6">
        <f t="shared" si="42"/>
        <v>0</v>
      </c>
      <c r="I132" s="6">
        <f t="shared" si="42"/>
        <v>0</v>
      </c>
      <c r="J132" s="6">
        <f t="shared" si="42"/>
        <v>0</v>
      </c>
      <c r="K132" s="6">
        <f t="shared" si="42"/>
        <v>0</v>
      </c>
      <c r="L132" s="6">
        <f t="shared" si="42"/>
        <v>0</v>
      </c>
      <c r="M132" s="7">
        <f t="shared" si="42"/>
        <v>0</v>
      </c>
      <c r="P132" s="108" cm="1">
        <f t="array" ref="P132:X134">+MMULT(_xlfn.ANCHORARRAY(S118),$P$131:$X$131)</f>
        <v>0</v>
      </c>
      <c r="Q132" s="108">
        <v>0</v>
      </c>
      <c r="R132" s="108">
        <v>0</v>
      </c>
      <c r="S132" s="108">
        <v>0</v>
      </c>
      <c r="T132" s="108">
        <v>0</v>
      </c>
      <c r="U132" s="108">
        <v>0</v>
      </c>
      <c r="V132" s="108">
        <v>0</v>
      </c>
      <c r="W132" s="108">
        <v>0</v>
      </c>
      <c r="X132" s="108">
        <v>0</v>
      </c>
    </row>
    <row r="133" spans="1:24" x14ac:dyDescent="0.3">
      <c r="D133" s="25" t="str">
        <v>Serv</v>
      </c>
      <c r="E133" s="9">
        <f t="shared" si="42"/>
        <v>0</v>
      </c>
      <c r="F133" s="10">
        <f t="shared" si="42"/>
        <v>0</v>
      </c>
      <c r="G133" s="10">
        <f t="shared" si="42"/>
        <v>0</v>
      </c>
      <c r="H133" s="10">
        <f t="shared" si="42"/>
        <v>0</v>
      </c>
      <c r="I133" s="10">
        <f t="shared" si="42"/>
        <v>0</v>
      </c>
      <c r="J133" s="10">
        <f t="shared" si="42"/>
        <v>0</v>
      </c>
      <c r="K133" s="10">
        <f t="shared" si="42"/>
        <v>0</v>
      </c>
      <c r="L133" s="10">
        <f t="shared" si="42"/>
        <v>0</v>
      </c>
      <c r="M133" s="11">
        <f t="shared" si="42"/>
        <v>0</v>
      </c>
      <c r="P133" s="102">
        <v>0.47717885380930269</v>
      </c>
      <c r="Q133" s="102">
        <v>0</v>
      </c>
      <c r="R133" s="102">
        <v>3.8198681672059386E-2</v>
      </c>
      <c r="S133" s="102">
        <v>0</v>
      </c>
      <c r="T133" s="102">
        <v>0</v>
      </c>
      <c r="U133" s="102">
        <v>0.13737463714549433</v>
      </c>
      <c r="V133" s="102">
        <v>0</v>
      </c>
      <c r="W133" s="102">
        <v>0.12300826362387875</v>
      </c>
      <c r="X133" s="102">
        <v>4.4626681486826955E-2</v>
      </c>
    </row>
    <row r="134" spans="1:24" ht="15" thickBot="1" x14ac:dyDescent="0.35">
      <c r="P134" s="107">
        <v>0.42784802569907754</v>
      </c>
      <c r="Q134" s="107">
        <v>0</v>
      </c>
      <c r="R134" s="107">
        <v>3.4249695700533857E-2</v>
      </c>
      <c r="S134" s="107">
        <v>0</v>
      </c>
      <c r="T134" s="107">
        <v>0</v>
      </c>
      <c r="U134" s="107">
        <v>0.12317282464347348</v>
      </c>
      <c r="V134" s="107">
        <v>0</v>
      </c>
      <c r="W134" s="107">
        <v>0.11029164917098465</v>
      </c>
      <c r="X134" s="107">
        <v>4.0013167840985034E-2</v>
      </c>
    </row>
    <row r="135" spans="1:24" ht="15" thickBot="1" x14ac:dyDescent="0.35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  <c r="O135" s="104">
        <f>+$L119*$I$123</f>
        <v>1</v>
      </c>
      <c r="P135" s="105">
        <f t="shared" ref="P135:X135" si="44">+$O135*E132</f>
        <v>0</v>
      </c>
      <c r="Q135" s="105">
        <f t="shared" si="44"/>
        <v>0</v>
      </c>
      <c r="R135" s="105">
        <f t="shared" si="44"/>
        <v>0</v>
      </c>
      <c r="S135" s="105">
        <f t="shared" si="44"/>
        <v>0</v>
      </c>
      <c r="T135" s="105">
        <f t="shared" si="44"/>
        <v>0</v>
      </c>
      <c r="U135" s="105">
        <f t="shared" si="44"/>
        <v>0</v>
      </c>
      <c r="V135" s="105">
        <f t="shared" si="44"/>
        <v>0</v>
      </c>
      <c r="W135" s="105">
        <f t="shared" si="44"/>
        <v>0</v>
      </c>
      <c r="X135" s="106">
        <f t="shared" si="44"/>
        <v>0</v>
      </c>
    </row>
    <row r="136" spans="1:24" ht="15" thickBot="1" x14ac:dyDescent="0.35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  <c r="P136" s="103" cm="1">
        <f t="array" ref="P136:X138">+MMULT(_xlfn.ANCHORARRAY(T118),$P$135:$X$135)</f>
        <v>0</v>
      </c>
      <c r="Q136" s="103">
        <v>0</v>
      </c>
      <c r="R136" s="103">
        <v>0</v>
      </c>
      <c r="S136" s="103">
        <v>0</v>
      </c>
      <c r="T136" s="103">
        <v>0</v>
      </c>
      <c r="U136" s="103">
        <v>0</v>
      </c>
      <c r="V136" s="103">
        <v>0</v>
      </c>
      <c r="W136" s="103">
        <v>0</v>
      </c>
      <c r="X136" s="103">
        <v>0</v>
      </c>
    </row>
    <row r="137" spans="1:24" x14ac:dyDescent="0.3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0</v>
      </c>
      <c r="G137" s="2" cm="1">
        <f t="array" ref="G137">+$I$123*$G118*_xlfn.XLOOKUP($D137,_xlfn.ANCHORARRAY($I$118),$L$118:$L$120,,0)*_xlfn.XLOOKUP($D137,$D$131:$D$133,G$131:G$133,,0)</f>
        <v>0</v>
      </c>
      <c r="H137" s="2" cm="1">
        <f t="array" ref="H137">+$I$123*$G118*_xlfn.XLOOKUP($D137,_xlfn.ANCHORARRAY($I$118),$L$118:$L$120,,0)*_xlfn.XLOOKUP($D137,$D$131:$D$133,H$131:H$133,,0)</f>
        <v>0</v>
      </c>
      <c r="I137" s="2" cm="1">
        <f t="array" ref="I137">+$I$123*$G118*_xlfn.XLOOKUP($D137,_xlfn.ANCHORARRAY($I$118),$L$118:$L$120,,0)*_xlfn.XLOOKUP($D137,$D$131:$D$133,I$131:I$133,,0)</f>
        <v>0</v>
      </c>
      <c r="J137" s="2" cm="1">
        <f t="array" ref="J137">+$I$123*$G118*_xlfn.XLOOKUP($D137,_xlfn.ANCHORARRAY($I$118),$L$118:$L$120,,0)*_xlfn.XLOOKUP($D137,$D$131:$D$133,J$131:J$133,,0)</f>
        <v>0</v>
      </c>
      <c r="K137" s="2" cm="1">
        <f t="array" ref="K137">+$I$123*$G118*_xlfn.XLOOKUP($D137,_xlfn.ANCHORARRAY($I$118),$L$118:$L$120,,0)*_xlfn.XLOOKUP($D137,$D$131:$D$133,K$131:K$133,,0)</f>
        <v>0</v>
      </c>
      <c r="L137" s="2" cm="1">
        <f t="array" ref="L137">+$I$123*$G118*_xlfn.XLOOKUP($D137,_xlfn.ANCHORARRAY($I$118),$L$118:$L$120,,0)*_xlfn.XLOOKUP($D137,$D$131:$D$133,L$131:L$133,,0)</f>
        <v>0</v>
      </c>
      <c r="M137" s="3" cm="1">
        <f t="array" ref="M137">+$I$123*$G118*_xlfn.XLOOKUP($D137,_xlfn.ANCHORARRAY($I$118),$L$118:$L$120,,0)*_xlfn.XLOOKUP($D137,$D$131:$D$133,M$131:M$133,,0)</f>
        <v>0</v>
      </c>
      <c r="P137" s="101">
        <v>0</v>
      </c>
      <c r="Q137" s="101">
        <v>0</v>
      </c>
      <c r="R137" s="101">
        <v>0</v>
      </c>
      <c r="S137" s="101">
        <v>0</v>
      </c>
      <c r="T137" s="101">
        <v>0</v>
      </c>
      <c r="U137" s="101">
        <v>0</v>
      </c>
      <c r="V137" s="101">
        <v>0</v>
      </c>
      <c r="W137" s="101">
        <v>0</v>
      </c>
      <c r="X137" s="101">
        <v>0</v>
      </c>
    </row>
    <row r="138" spans="1:24" ht="15" thickBot="1" x14ac:dyDescent="0.35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</v>
      </c>
      <c r="F138" s="6" cm="1">
        <f t="array" ref="F138">+$I$123*$G119*_xlfn.XLOOKUP($D138,_xlfn.ANCHORARRAY($I$118),$L$118:$L$120,,0)*_xlfn.XLOOKUP($D138,$D$131:$D$133,F$131:F$133,,0)</f>
        <v>0</v>
      </c>
      <c r="G138" s="6" cm="1">
        <f t="array" ref="G138">+$I$123*$G119*_xlfn.XLOOKUP($D138,_xlfn.ANCHORARRAY($I$118),$L$118:$L$120,,0)*_xlfn.XLOOKUP($D138,$D$131:$D$133,G$131:G$133,,0)</f>
        <v>0</v>
      </c>
      <c r="H138" s="6" cm="1">
        <f t="array" ref="H138">+$I$123*$G119*_xlfn.XLOOKUP($D138,_xlfn.ANCHORARRAY($I$118),$L$118:$L$120,,0)*_xlfn.XLOOKUP($D138,$D$131:$D$133,H$131:H$133,,0)</f>
        <v>0</v>
      </c>
      <c r="I138" s="6" cm="1">
        <f t="array" ref="I138">+$I$123*$G119*_xlfn.XLOOKUP($D138,_xlfn.ANCHORARRAY($I$118),$L$118:$L$120,,0)*_xlfn.XLOOKUP($D138,$D$131:$D$133,I$131:I$133,,0)</f>
        <v>0</v>
      </c>
      <c r="J138" s="6" cm="1">
        <f t="array" ref="J138">+$I$123*$G119*_xlfn.XLOOKUP($D138,_xlfn.ANCHORARRAY($I$118),$L$118:$L$120,,0)*_xlfn.XLOOKUP($D138,$D$131:$D$133,J$131:J$133,,0)</f>
        <v>0</v>
      </c>
      <c r="K138" s="6" cm="1">
        <f t="array" ref="K138">+$I$123*$G119*_xlfn.XLOOKUP($D138,_xlfn.ANCHORARRAY($I$118),$L$118:$L$120,,0)*_xlfn.XLOOKUP($D138,$D$131:$D$133,K$131:K$133,,0)</f>
        <v>0</v>
      </c>
      <c r="L138" s="6" cm="1">
        <f t="array" ref="L138">+$I$123*$G119*_xlfn.XLOOKUP($D138,_xlfn.ANCHORARRAY($I$118),$L$118:$L$120,,0)*_xlfn.XLOOKUP($D138,$D$131:$D$133,L$131:L$133,,0)</f>
        <v>0</v>
      </c>
      <c r="M138" s="7" cm="1">
        <f t="array" ref="M138">+$I$123*$G119*_xlfn.XLOOKUP($D138,_xlfn.ANCHORARRAY($I$118),$L$118:$L$120,,0)*_xlfn.XLOOKUP($D138,$D$131:$D$133,M$131:M$133,,0)</f>
        <v>0</v>
      </c>
      <c r="N138" s="18"/>
      <c r="P138" s="101">
        <v>0</v>
      </c>
      <c r="Q138" s="101">
        <v>0</v>
      </c>
      <c r="R138" s="101">
        <v>0</v>
      </c>
      <c r="S138" s="101">
        <v>0</v>
      </c>
      <c r="T138" s="101">
        <v>0</v>
      </c>
      <c r="U138" s="101">
        <v>0</v>
      </c>
      <c r="V138" s="101">
        <v>0</v>
      </c>
      <c r="W138" s="101">
        <v>0</v>
      </c>
      <c r="X138" s="101">
        <v>0</v>
      </c>
    </row>
    <row r="139" spans="1:24" ht="15" thickBot="1" x14ac:dyDescent="0.35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</v>
      </c>
      <c r="F139" s="6" cm="1">
        <f t="array" ref="F139">+$I$123*$G120*_xlfn.XLOOKUP($D139,_xlfn.ANCHORARRAY($I$118),$L$118:$L$120,,0)*_xlfn.XLOOKUP($D139,$D$131:$D$133,F$131:F$133,,0)</f>
        <v>0</v>
      </c>
      <c r="G139" s="6" cm="1">
        <f t="array" ref="G139">+$I$123*$G120*_xlfn.XLOOKUP($D139,_xlfn.ANCHORARRAY($I$118),$L$118:$L$120,,0)*_xlfn.XLOOKUP($D139,$D$131:$D$133,G$131:G$133,,0)</f>
        <v>0</v>
      </c>
      <c r="H139" s="6" cm="1">
        <f t="array" ref="H139">+$I$123*$G120*_xlfn.XLOOKUP($D139,_xlfn.ANCHORARRAY($I$118),$L$118:$L$120,,0)*_xlfn.XLOOKUP($D139,$D$131:$D$133,H$131:H$133,,0)</f>
        <v>0</v>
      </c>
      <c r="I139" s="6" cm="1">
        <f t="array" ref="I139">+$I$123*$G120*_xlfn.XLOOKUP($D139,_xlfn.ANCHORARRAY($I$118),$L$118:$L$120,,0)*_xlfn.XLOOKUP($D139,$D$131:$D$133,I$131:I$133,,0)</f>
        <v>0</v>
      </c>
      <c r="J139" s="6" cm="1">
        <f t="array" ref="J139">+$I$123*$G120*_xlfn.XLOOKUP($D139,_xlfn.ANCHORARRAY($I$118),$L$118:$L$120,,0)*_xlfn.XLOOKUP($D139,$D$131:$D$133,J$131:J$133,,0)</f>
        <v>0</v>
      </c>
      <c r="K139" s="6" cm="1">
        <f t="array" ref="K139">+$I$123*$G120*_xlfn.XLOOKUP($D139,_xlfn.ANCHORARRAY($I$118),$L$118:$L$120,,0)*_xlfn.XLOOKUP($D139,$D$131:$D$133,K$131:K$133,,0)</f>
        <v>0</v>
      </c>
      <c r="L139" s="6" cm="1">
        <f t="array" ref="L139">+$I$123*$G120*_xlfn.XLOOKUP($D139,_xlfn.ANCHORARRAY($I$118),$L$118:$L$120,,0)*_xlfn.XLOOKUP($D139,$D$131:$D$133,L$131:L$133,,0)</f>
        <v>0</v>
      </c>
      <c r="M139" s="7" cm="1">
        <f t="array" ref="M139">+$I$123*$G120*_xlfn.XLOOKUP($D139,_xlfn.ANCHORARRAY($I$118),$L$118:$L$120,,0)*_xlfn.XLOOKUP($D139,$D$131:$D$133,M$131:M$133,,0)</f>
        <v>0</v>
      </c>
      <c r="N139" s="18"/>
      <c r="O139" s="104">
        <f>+$L120*$I$123</f>
        <v>1</v>
      </c>
      <c r="P139" s="105">
        <f t="shared" ref="P139:X139" si="45">+$O139*E133</f>
        <v>0</v>
      </c>
      <c r="Q139" s="105">
        <f t="shared" si="45"/>
        <v>0</v>
      </c>
      <c r="R139" s="105">
        <f t="shared" si="45"/>
        <v>0</v>
      </c>
      <c r="S139" s="105">
        <f t="shared" si="45"/>
        <v>0</v>
      </c>
      <c r="T139" s="105">
        <f t="shared" si="45"/>
        <v>0</v>
      </c>
      <c r="U139" s="105">
        <f t="shared" si="45"/>
        <v>0</v>
      </c>
      <c r="V139" s="105">
        <f t="shared" si="45"/>
        <v>0</v>
      </c>
      <c r="W139" s="105">
        <f t="shared" si="45"/>
        <v>0</v>
      </c>
      <c r="X139" s="106">
        <f t="shared" si="45"/>
        <v>0</v>
      </c>
    </row>
    <row r="140" spans="1:24" x14ac:dyDescent="0.3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0.47717885380930269</v>
      </c>
      <c r="F140" s="6" cm="1">
        <f t="array" ref="F140">+$I$123*$G121*_xlfn.XLOOKUP($D140,_xlfn.ANCHORARRAY($I$118),$L$118:$L$120,,0)*_xlfn.XLOOKUP($D140,$D$131:$D$133,F$131:F$133,,0)</f>
        <v>0</v>
      </c>
      <c r="G140" s="6" cm="1">
        <f t="array" ref="G140">+$I$123*$G121*_xlfn.XLOOKUP($D140,_xlfn.ANCHORARRAY($I$118),$L$118:$L$120,,0)*_xlfn.XLOOKUP($D140,$D$131:$D$133,G$131:G$133,,0)</f>
        <v>3.8198681672059386E-2</v>
      </c>
      <c r="H140" s="6" cm="1">
        <f t="array" ref="H140">+$I$123*$G121*_xlfn.XLOOKUP($D140,_xlfn.ANCHORARRAY($I$118),$L$118:$L$120,,0)*_xlfn.XLOOKUP($D140,$D$131:$D$133,H$131:H$133,,0)</f>
        <v>0</v>
      </c>
      <c r="I140" s="6" cm="1">
        <f t="array" ref="I140">+$I$123*$G121*_xlfn.XLOOKUP($D140,_xlfn.ANCHORARRAY($I$118),$L$118:$L$120,,0)*_xlfn.XLOOKUP($D140,$D$131:$D$133,I$131:I$133,,0)</f>
        <v>0</v>
      </c>
      <c r="J140" s="6" cm="1">
        <f t="array" ref="J140">+$I$123*$G121*_xlfn.XLOOKUP($D140,_xlfn.ANCHORARRAY($I$118),$L$118:$L$120,,0)*_xlfn.XLOOKUP($D140,$D$131:$D$133,J$131:J$133,,0)</f>
        <v>0.13737463714549433</v>
      </c>
      <c r="K140" s="6" cm="1">
        <f t="array" ref="K140">+$I$123*$G121*_xlfn.XLOOKUP($D140,_xlfn.ANCHORARRAY($I$118),$L$118:$L$120,,0)*_xlfn.XLOOKUP($D140,$D$131:$D$133,K$131:K$133,,0)</f>
        <v>0</v>
      </c>
      <c r="L140" s="6" cm="1">
        <f t="array" ref="L140">+$I$123*$G121*_xlfn.XLOOKUP($D140,_xlfn.ANCHORARRAY($I$118),$L$118:$L$120,,0)*_xlfn.XLOOKUP($D140,$D$131:$D$133,L$131:L$133,,0)</f>
        <v>0.12300826362387875</v>
      </c>
      <c r="M140" s="7" cm="1">
        <f t="array" ref="M140">+$I$123*$G121*_xlfn.XLOOKUP($D140,_xlfn.ANCHORARRAY($I$118),$L$118:$L$120,,0)*_xlfn.XLOOKUP($D140,$D$131:$D$133,M$131:M$133,,0)</f>
        <v>4.4626681486826955E-2</v>
      </c>
      <c r="N140" s="18"/>
      <c r="P140" s="103" cm="1">
        <f t="array" ref="P140:X142">+MMULT(_xlfn.ANCHORARRAY(U118),$P$139:$X$139)</f>
        <v>0</v>
      </c>
      <c r="Q140" s="103">
        <v>0</v>
      </c>
      <c r="R140" s="103">
        <v>0</v>
      </c>
      <c r="S140" s="103">
        <v>0</v>
      </c>
      <c r="T140" s="103">
        <v>0</v>
      </c>
      <c r="U140" s="103">
        <v>0</v>
      </c>
      <c r="V140" s="103">
        <v>0</v>
      </c>
      <c r="W140" s="103">
        <v>0</v>
      </c>
      <c r="X140" s="103">
        <v>0</v>
      </c>
    </row>
    <row r="141" spans="1:24" x14ac:dyDescent="0.3">
      <c r="C141" s="20" t="s">
        <v>10</v>
      </c>
      <c r="D141" s="25" t="str">
        <f t="shared" ref="D141:D145" si="46">+D138</f>
        <v>Ind</v>
      </c>
      <c r="E141" s="5" cm="1">
        <f t="array" ref="E141">+$I$123*$G122*_xlfn.XLOOKUP($D141,_xlfn.ANCHORARRAY($I$118),$L$118:$L$120,,0)*_xlfn.XLOOKUP($D141,$D$131:$D$133,E$131:E$133,,0)</f>
        <v>0</v>
      </c>
      <c r="F141" s="6" cm="1">
        <f t="array" ref="F141">+$I$123*$G122*_xlfn.XLOOKUP($D141,_xlfn.ANCHORARRAY($I$118),$L$118:$L$120,,0)*_xlfn.XLOOKUP($D141,$D$131:$D$133,F$131:F$133,,0)</f>
        <v>0</v>
      </c>
      <c r="G141" s="6" cm="1">
        <f t="array" ref="G141">+$I$123*$G122*_xlfn.XLOOKUP($D141,_xlfn.ANCHORARRAY($I$118),$L$118:$L$120,,0)*_xlfn.XLOOKUP($D141,$D$131:$D$133,G$131:G$133,,0)</f>
        <v>0</v>
      </c>
      <c r="H141" s="6" cm="1">
        <f t="array" ref="H141">+$I$123*$G122*_xlfn.XLOOKUP($D141,_xlfn.ANCHORARRAY($I$118),$L$118:$L$120,,0)*_xlfn.XLOOKUP($D141,$D$131:$D$133,H$131:H$133,,0)</f>
        <v>0</v>
      </c>
      <c r="I141" s="6" cm="1">
        <f t="array" ref="I141">+$I$123*$G122*_xlfn.XLOOKUP($D141,_xlfn.ANCHORARRAY($I$118),$L$118:$L$120,,0)*_xlfn.XLOOKUP($D141,$D$131:$D$133,I$131:I$133,,0)</f>
        <v>0</v>
      </c>
      <c r="J141" s="6" cm="1">
        <f t="array" ref="J141">+$I$123*$G122*_xlfn.XLOOKUP($D141,_xlfn.ANCHORARRAY($I$118),$L$118:$L$120,,0)*_xlfn.XLOOKUP($D141,$D$131:$D$133,J$131:J$133,,0)</f>
        <v>0</v>
      </c>
      <c r="K141" s="6" cm="1">
        <f t="array" ref="K141">+$I$123*$G122*_xlfn.XLOOKUP($D141,_xlfn.ANCHORARRAY($I$118),$L$118:$L$120,,0)*_xlfn.XLOOKUP($D141,$D$131:$D$133,K$131:K$133,,0)</f>
        <v>0</v>
      </c>
      <c r="L141" s="6" cm="1">
        <f t="array" ref="L141">+$I$123*$G122*_xlfn.XLOOKUP($D141,_xlfn.ANCHORARRAY($I$118),$L$118:$L$120,,0)*_xlfn.XLOOKUP($D141,$D$131:$D$133,L$131:L$133,,0)</f>
        <v>0</v>
      </c>
      <c r="M141" s="7" cm="1">
        <f t="array" ref="M141">+$I$123*$G122*_xlfn.XLOOKUP($D141,_xlfn.ANCHORARRAY($I$118),$L$118:$L$120,,0)*_xlfn.XLOOKUP($D141,$D$131:$D$133,M$131:M$133,,0)</f>
        <v>0</v>
      </c>
      <c r="N141" s="18"/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</row>
    <row r="142" spans="1:24" x14ac:dyDescent="0.3">
      <c r="C142" s="20" t="s">
        <v>10</v>
      </c>
      <c r="D142" s="25" t="str">
        <f t="shared" si="46"/>
        <v>Serv</v>
      </c>
      <c r="E142" s="5" cm="1">
        <f t="array" ref="E142">+$I$123*$G123*_xlfn.XLOOKUP($D142,_xlfn.ANCHORARRAY($I$118),$L$118:$L$120,,0)*_xlfn.XLOOKUP($D142,$D$131:$D$133,E$131:E$133,,0)</f>
        <v>0</v>
      </c>
      <c r="F142" s="6" cm="1">
        <f t="array" ref="F142">+$I$123*$G123*_xlfn.XLOOKUP($D142,_xlfn.ANCHORARRAY($I$118),$L$118:$L$120,,0)*_xlfn.XLOOKUP($D142,$D$131:$D$133,F$131:F$133,,0)</f>
        <v>0</v>
      </c>
      <c r="G142" s="6" cm="1">
        <f t="array" ref="G142">+$I$123*$G123*_xlfn.XLOOKUP($D142,_xlfn.ANCHORARRAY($I$118),$L$118:$L$120,,0)*_xlfn.XLOOKUP($D142,$D$131:$D$133,G$131:G$133,,0)</f>
        <v>0</v>
      </c>
      <c r="H142" s="6" cm="1">
        <f t="array" ref="H142">+$I$123*$G123*_xlfn.XLOOKUP($D142,_xlfn.ANCHORARRAY($I$118),$L$118:$L$120,,0)*_xlfn.XLOOKUP($D142,$D$131:$D$133,H$131:H$133,,0)</f>
        <v>0</v>
      </c>
      <c r="I142" s="6" cm="1">
        <f t="array" ref="I142">+$I$123*$G123*_xlfn.XLOOKUP($D142,_xlfn.ANCHORARRAY($I$118),$L$118:$L$120,,0)*_xlfn.XLOOKUP($D142,$D$131:$D$133,I$131:I$133,,0)</f>
        <v>0</v>
      </c>
      <c r="J142" s="6" cm="1">
        <f t="array" ref="J142">+$I$123*$G123*_xlfn.XLOOKUP($D142,_xlfn.ANCHORARRAY($I$118),$L$118:$L$120,,0)*_xlfn.XLOOKUP($D142,$D$131:$D$133,J$131:J$133,,0)</f>
        <v>0</v>
      </c>
      <c r="K142" s="6" cm="1">
        <f t="array" ref="K142">+$I$123*$G123*_xlfn.XLOOKUP($D142,_xlfn.ANCHORARRAY($I$118),$L$118:$L$120,,0)*_xlfn.XLOOKUP($D142,$D$131:$D$133,K$131:K$133,,0)</f>
        <v>0</v>
      </c>
      <c r="L142" s="6" cm="1">
        <f t="array" ref="L142">+$I$123*$G123*_xlfn.XLOOKUP($D142,_xlfn.ANCHORARRAY($I$118),$L$118:$L$120,,0)*_xlfn.XLOOKUP($D142,$D$131:$D$133,L$131:L$133,,0)</f>
        <v>0</v>
      </c>
      <c r="M142" s="7" cm="1">
        <f t="array" ref="M142">+$I$123*$G123*_xlfn.XLOOKUP($D142,_xlfn.ANCHORARRAY($I$118),$L$118:$L$120,,0)*_xlfn.XLOOKUP($D142,$D$131:$D$133,M$131:M$133,,0)</f>
        <v>0</v>
      </c>
      <c r="N142" s="18"/>
      <c r="P142" s="101">
        <v>0</v>
      </c>
      <c r="Q142" s="101">
        <v>0</v>
      </c>
      <c r="R142" s="101">
        <v>0</v>
      </c>
      <c r="S142" s="101">
        <v>0</v>
      </c>
      <c r="T142" s="101">
        <v>0</v>
      </c>
      <c r="U142" s="101">
        <v>0</v>
      </c>
      <c r="V142" s="101">
        <v>0</v>
      </c>
      <c r="W142" s="101">
        <v>0</v>
      </c>
      <c r="X142" s="101">
        <v>0</v>
      </c>
    </row>
    <row r="143" spans="1:24" x14ac:dyDescent="0.3">
      <c r="C143" s="20" t="s">
        <v>11</v>
      </c>
      <c r="D143" s="25" t="str">
        <f t="shared" si="46"/>
        <v>Agr</v>
      </c>
      <c r="E143" s="5" cm="1">
        <f t="array" ref="E143">+$I$123*$G124*_xlfn.XLOOKUP($D143,_xlfn.ANCHORARRAY($I$118),$L$118:$L$120,,0)*_xlfn.XLOOKUP($D143,$D$131:$D$133,E$131:E$133,,0)</f>
        <v>0.42784802569907754</v>
      </c>
      <c r="F143" s="6" cm="1">
        <f t="array" ref="F143">+$I$123*$G124*_xlfn.XLOOKUP($D143,_xlfn.ANCHORARRAY($I$118),$L$118:$L$120,,0)*_xlfn.XLOOKUP($D143,$D$131:$D$133,F$131:F$133,,0)</f>
        <v>0</v>
      </c>
      <c r="G143" s="6" cm="1">
        <f t="array" ref="G143">+$I$123*$G124*_xlfn.XLOOKUP($D143,_xlfn.ANCHORARRAY($I$118),$L$118:$L$120,,0)*_xlfn.XLOOKUP($D143,$D$131:$D$133,G$131:G$133,,0)</f>
        <v>3.4249695700533857E-2</v>
      </c>
      <c r="H143" s="6" cm="1">
        <f t="array" ref="H143">+$I$123*$G124*_xlfn.XLOOKUP($D143,_xlfn.ANCHORARRAY($I$118),$L$118:$L$120,,0)*_xlfn.XLOOKUP($D143,$D$131:$D$133,H$131:H$133,,0)</f>
        <v>0</v>
      </c>
      <c r="I143" s="6" cm="1">
        <f t="array" ref="I143">+$I$123*$G124*_xlfn.XLOOKUP($D143,_xlfn.ANCHORARRAY($I$118),$L$118:$L$120,,0)*_xlfn.XLOOKUP($D143,$D$131:$D$133,I$131:I$133,,0)</f>
        <v>0</v>
      </c>
      <c r="J143" s="6" cm="1">
        <f t="array" ref="J143">+$I$123*$G124*_xlfn.XLOOKUP($D143,_xlfn.ANCHORARRAY($I$118),$L$118:$L$120,,0)*_xlfn.XLOOKUP($D143,$D$131:$D$133,J$131:J$133,,0)</f>
        <v>0.12317282464347348</v>
      </c>
      <c r="K143" s="6" cm="1">
        <f t="array" ref="K143">+$I$123*$G124*_xlfn.XLOOKUP($D143,_xlfn.ANCHORARRAY($I$118),$L$118:$L$120,,0)*_xlfn.XLOOKUP($D143,$D$131:$D$133,K$131:K$133,,0)</f>
        <v>0</v>
      </c>
      <c r="L143" s="6" cm="1">
        <f t="array" ref="L143">+$I$123*$G124*_xlfn.XLOOKUP($D143,_xlfn.ANCHORARRAY($I$118),$L$118:$L$120,,0)*_xlfn.XLOOKUP($D143,$D$131:$D$133,L$131:L$133,,0)</f>
        <v>0.11029164917098465</v>
      </c>
      <c r="M143" s="7" cm="1">
        <f t="array" ref="M143">+$I$123*$G124*_xlfn.XLOOKUP($D143,_xlfn.ANCHORARRAY($I$118),$L$118:$L$120,,0)*_xlfn.XLOOKUP($D143,$D$131:$D$133,M$131:M$133,,0)</f>
        <v>4.0013167840985034E-2</v>
      </c>
      <c r="N143" s="18"/>
    </row>
    <row r="144" spans="1:24" x14ac:dyDescent="0.3">
      <c r="C144" s="20" t="s">
        <v>11</v>
      </c>
      <c r="D144" s="25" t="str">
        <f t="shared" si="46"/>
        <v>Ind</v>
      </c>
      <c r="E144" s="5" cm="1">
        <f t="array" ref="E144">+$I$123*$G125*_xlfn.XLOOKUP($D144,_xlfn.ANCHORARRAY($I$118),$L$118:$L$120,,0)*_xlfn.XLOOKUP($D144,$D$131:$D$133,E$131:E$133,,0)</f>
        <v>0</v>
      </c>
      <c r="F144" s="6" cm="1">
        <f t="array" ref="F144">+$I$123*$G125*_xlfn.XLOOKUP($D144,_xlfn.ANCHORARRAY($I$118),$L$118:$L$120,,0)*_xlfn.XLOOKUP($D144,$D$131:$D$133,F$131:F$133,,0)</f>
        <v>0</v>
      </c>
      <c r="G144" s="6" cm="1">
        <f t="array" ref="G144">+$I$123*$G125*_xlfn.XLOOKUP($D144,_xlfn.ANCHORARRAY($I$118),$L$118:$L$120,,0)*_xlfn.XLOOKUP($D144,$D$131:$D$133,G$131:G$133,,0)</f>
        <v>0</v>
      </c>
      <c r="H144" s="6" cm="1">
        <f t="array" ref="H144">+$I$123*$G125*_xlfn.XLOOKUP($D144,_xlfn.ANCHORARRAY($I$118),$L$118:$L$120,,0)*_xlfn.XLOOKUP($D144,$D$131:$D$133,H$131:H$133,,0)</f>
        <v>0</v>
      </c>
      <c r="I144" s="6" cm="1">
        <f t="array" ref="I144">+$I$123*$G125*_xlfn.XLOOKUP($D144,_xlfn.ANCHORARRAY($I$118),$L$118:$L$120,,0)*_xlfn.XLOOKUP($D144,$D$131:$D$133,I$131:I$133,,0)</f>
        <v>0</v>
      </c>
      <c r="J144" s="6" cm="1">
        <f t="array" ref="J144">+$I$123*$G125*_xlfn.XLOOKUP($D144,_xlfn.ANCHORARRAY($I$118),$L$118:$L$120,,0)*_xlfn.XLOOKUP($D144,$D$131:$D$133,J$131:J$133,,0)</f>
        <v>0</v>
      </c>
      <c r="K144" s="6" cm="1">
        <f t="array" ref="K144">+$I$123*$G125*_xlfn.XLOOKUP($D144,_xlfn.ANCHORARRAY($I$118),$L$118:$L$120,,0)*_xlfn.XLOOKUP($D144,$D$131:$D$133,K$131:K$133,,0)</f>
        <v>0</v>
      </c>
      <c r="L144" s="6" cm="1">
        <f t="array" ref="L144">+$I$123*$G125*_xlfn.XLOOKUP($D144,_xlfn.ANCHORARRAY($I$118),$L$118:$L$120,,0)*_xlfn.XLOOKUP($D144,$D$131:$D$133,L$131:L$133,,0)</f>
        <v>0</v>
      </c>
      <c r="M144" s="7" cm="1">
        <f t="array" ref="M144">+$I$123*$G125*_xlfn.XLOOKUP($D144,_xlfn.ANCHORARRAY($I$118),$L$118:$L$120,,0)*_xlfn.XLOOKUP($D144,$D$131:$D$133,M$131:M$133,,0)</f>
        <v>0</v>
      </c>
      <c r="N144" s="18"/>
    </row>
    <row r="145" spans="3:23" x14ac:dyDescent="0.3">
      <c r="C145" s="20" t="s">
        <v>11</v>
      </c>
      <c r="D145" s="25" t="str">
        <f t="shared" si="46"/>
        <v>Serv</v>
      </c>
      <c r="E145" s="9" cm="1">
        <f t="array" ref="E145">+$I$123*$G126*_xlfn.XLOOKUP($D145,_xlfn.ANCHORARRAY($I$118),$L$118:$L$120,,0)*_xlfn.XLOOKUP($D145,$D$131:$D$133,E$131:E$133,,0)</f>
        <v>0</v>
      </c>
      <c r="F145" s="10" cm="1">
        <f t="array" ref="F145">+$I$123*$G126*_xlfn.XLOOKUP($D145,_xlfn.ANCHORARRAY($I$118),$L$118:$L$120,,0)*_xlfn.XLOOKUP($D145,$D$131:$D$133,F$131:F$133,,0)</f>
        <v>0</v>
      </c>
      <c r="G145" s="10" cm="1">
        <f t="array" ref="G145">+$I$123*$G126*_xlfn.XLOOKUP($D145,_xlfn.ANCHORARRAY($I$118),$L$118:$L$120,,0)*_xlfn.XLOOKUP($D145,$D$131:$D$133,G$131:G$133,,0)</f>
        <v>0</v>
      </c>
      <c r="H145" s="10" cm="1">
        <f t="array" ref="H145">+$I$123*$G126*_xlfn.XLOOKUP($D145,_xlfn.ANCHORARRAY($I$118),$L$118:$L$120,,0)*_xlfn.XLOOKUP($D145,$D$131:$D$133,H$131:H$133,,0)</f>
        <v>0</v>
      </c>
      <c r="I145" s="10" cm="1">
        <f t="array" ref="I145">+$I$123*$G126*_xlfn.XLOOKUP($D145,_xlfn.ANCHORARRAY($I$118),$L$118:$L$120,,0)*_xlfn.XLOOKUP($D145,$D$131:$D$133,I$131:I$133,,0)</f>
        <v>0</v>
      </c>
      <c r="J145" s="10" cm="1">
        <f t="array" ref="J145">+$I$123*$G126*_xlfn.XLOOKUP($D145,_xlfn.ANCHORARRAY($I$118),$L$118:$L$120,,0)*_xlfn.XLOOKUP($D145,$D$131:$D$133,J$131:J$133,,0)</f>
        <v>0</v>
      </c>
      <c r="K145" s="10" cm="1">
        <f t="array" ref="K145">+$I$123*$G126*_xlfn.XLOOKUP($D145,_xlfn.ANCHORARRAY($I$118),$L$118:$L$120,,0)*_xlfn.XLOOKUP($D145,$D$131:$D$133,K$131:K$133,,0)</f>
        <v>0</v>
      </c>
      <c r="L145" s="10" cm="1">
        <f t="array" ref="L145">+$I$123*$G126*_xlfn.XLOOKUP($D145,_xlfn.ANCHORARRAY($I$118),$L$118:$L$120,,0)*_xlfn.XLOOKUP($D145,$D$131:$D$133,L$131:L$133,,0)</f>
        <v>0</v>
      </c>
      <c r="M145" s="11" cm="1">
        <f t="array" ref="M145">+$I$123*$G126*_xlfn.XLOOKUP($D145,_xlfn.ANCHORARRAY($I$118),$L$118:$L$120,,0)*_xlfn.XLOOKUP($D145,$D$131:$D$133,M$131:M$133,,0)</f>
        <v>0</v>
      </c>
      <c r="N145" s="18"/>
    </row>
    <row r="146" spans="3:23" x14ac:dyDescent="0.3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3" x14ac:dyDescent="0.3">
      <c r="O147" s="19"/>
    </row>
    <row r="148" spans="3:23" ht="15" thickBot="1" x14ac:dyDescent="0.35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3" ht="15" thickBot="1" x14ac:dyDescent="0.35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3" x14ac:dyDescent="0.3">
      <c r="C150" s="20" t="s">
        <v>1</v>
      </c>
      <c r="D150" s="28" t="s">
        <v>51</v>
      </c>
      <c r="E150" s="1">
        <f>+MIN(E78,E94)+E137</f>
        <v>8</v>
      </c>
      <c r="F150" s="2">
        <f t="shared" ref="F150:M150" si="47">+MIN(F78,F94)+F137</f>
        <v>3.9937898688114797</v>
      </c>
      <c r="G150" s="2">
        <f t="shared" si="47"/>
        <v>8</v>
      </c>
      <c r="H150" s="2">
        <f t="shared" si="47"/>
        <v>0.76316248525184616</v>
      </c>
      <c r="I150" s="2">
        <f t="shared" si="47"/>
        <v>0</v>
      </c>
      <c r="J150" s="2">
        <f t="shared" si="47"/>
        <v>6.4</v>
      </c>
      <c r="K150" s="2">
        <f t="shared" si="47"/>
        <v>2.3127760096535526</v>
      </c>
      <c r="L150" s="2">
        <f t="shared" si="47"/>
        <v>5.6000000000000005</v>
      </c>
      <c r="M150" s="3">
        <f t="shared" si="47"/>
        <v>1.6</v>
      </c>
      <c r="N150" s="19">
        <f>+E150-E5</f>
        <v>-2</v>
      </c>
      <c r="O150" s="19">
        <f t="shared" ref="O150:V158" si="48">+F150-F5</f>
        <v>-1.0062101311885203</v>
      </c>
      <c r="P150" s="19">
        <f t="shared" si="48"/>
        <v>-2</v>
      </c>
      <c r="Q150" s="19">
        <f t="shared" si="48"/>
        <v>-0.23683751474815384</v>
      </c>
      <c r="R150" s="19">
        <f t="shared" si="48"/>
        <v>0</v>
      </c>
      <c r="S150" s="19">
        <f t="shared" si="48"/>
        <v>-1.5999999999999996</v>
      </c>
      <c r="T150" s="19">
        <f t="shared" si="48"/>
        <v>-0.68722399034644743</v>
      </c>
      <c r="U150" s="19">
        <f t="shared" si="48"/>
        <v>-1.3999999999999995</v>
      </c>
      <c r="V150" s="19">
        <f t="shared" si="48"/>
        <v>-0.39999999999999991</v>
      </c>
      <c r="W150" s="16">
        <f>+SUM(N150:V150)</f>
        <v>-9.3302716362831202</v>
      </c>
    </row>
    <row r="151" spans="3:23" x14ac:dyDescent="0.3">
      <c r="C151" s="20" t="s">
        <v>1</v>
      </c>
      <c r="D151" s="25" t="s">
        <v>52</v>
      </c>
      <c r="E151" s="5">
        <f t="shared" ref="E151:M158" si="49">+MIN(E79,E95)+E138</f>
        <v>7.1240215036067047</v>
      </c>
      <c r="F151" s="6">
        <f t="shared" si="49"/>
        <v>2.3962739212868875</v>
      </c>
      <c r="G151" s="6">
        <f t="shared" si="49"/>
        <v>7.2652035396353334</v>
      </c>
      <c r="H151" s="6">
        <f t="shared" si="49"/>
        <v>3.0526499410073846</v>
      </c>
      <c r="I151" s="6">
        <f t="shared" si="49"/>
        <v>1.5475960592922338</v>
      </c>
      <c r="J151" s="6">
        <f t="shared" si="49"/>
        <v>8.3256843272362104</v>
      </c>
      <c r="K151" s="6">
        <f t="shared" si="49"/>
        <v>0.77092533655118411</v>
      </c>
      <c r="L151" s="6">
        <f t="shared" si="49"/>
        <v>3.3333142358827796</v>
      </c>
      <c r="M151" s="7">
        <f t="shared" si="49"/>
        <v>5.8962394726473422</v>
      </c>
      <c r="N151" s="19">
        <f t="shared" ref="N151:N158" si="50">+E151-E6</f>
        <v>-0.87597849639329528</v>
      </c>
      <c r="O151" s="19">
        <f t="shared" si="48"/>
        <v>-0.60372607871311246</v>
      </c>
      <c r="P151" s="19">
        <f t="shared" si="48"/>
        <v>-1.7347964603646666</v>
      </c>
      <c r="Q151" s="19">
        <f t="shared" si="48"/>
        <v>-0.94735005899261537</v>
      </c>
      <c r="R151" s="19">
        <f t="shared" si="48"/>
        <v>-0.45240394070776624</v>
      </c>
      <c r="S151" s="19">
        <f t="shared" si="48"/>
        <v>-1.6743156727637896</v>
      </c>
      <c r="T151" s="19">
        <f t="shared" si="48"/>
        <v>-0.22907466344881589</v>
      </c>
      <c r="U151" s="19">
        <f t="shared" si="48"/>
        <v>-0.66668576411722036</v>
      </c>
      <c r="V151" s="19">
        <f t="shared" si="48"/>
        <v>-1.1037605273526578</v>
      </c>
      <c r="W151" s="16">
        <f t="shared" ref="W151:W158" si="51">+SUM(N151:V151)</f>
        <v>-8.2880916628539403</v>
      </c>
    </row>
    <row r="152" spans="3:23" x14ac:dyDescent="0.3">
      <c r="C152" s="20" t="s">
        <v>1</v>
      </c>
      <c r="D152" s="25" t="s">
        <v>53</v>
      </c>
      <c r="E152" s="5">
        <f t="shared" si="49"/>
        <v>0</v>
      </c>
      <c r="F152" s="6">
        <f t="shared" si="49"/>
        <v>0</v>
      </c>
      <c r="G152" s="6">
        <f t="shared" si="49"/>
        <v>0</v>
      </c>
      <c r="H152" s="6">
        <f t="shared" si="49"/>
        <v>5.342137396762924</v>
      </c>
      <c r="I152" s="6">
        <f t="shared" si="49"/>
        <v>3.0951921185844675</v>
      </c>
      <c r="J152" s="6">
        <f t="shared" si="49"/>
        <v>3.3302737308944841</v>
      </c>
      <c r="K152" s="6">
        <f t="shared" si="49"/>
        <v>5.3964773558582886</v>
      </c>
      <c r="L152" s="6">
        <f t="shared" si="49"/>
        <v>3.3333142358827796</v>
      </c>
      <c r="M152" s="7">
        <f t="shared" si="49"/>
        <v>5.8962394726473422</v>
      </c>
      <c r="N152" s="19">
        <f t="shared" si="50"/>
        <v>0</v>
      </c>
      <c r="O152" s="19">
        <f t="shared" si="48"/>
        <v>0</v>
      </c>
      <c r="P152" s="19">
        <f t="shared" si="48"/>
        <v>0</v>
      </c>
      <c r="Q152" s="19">
        <f t="shared" si="48"/>
        <v>-1.657862603237076</v>
      </c>
      <c r="R152" s="19">
        <f t="shared" si="48"/>
        <v>-0.90480788141553248</v>
      </c>
      <c r="S152" s="19">
        <f t="shared" si="48"/>
        <v>-0.66972626910551591</v>
      </c>
      <c r="T152" s="19">
        <f t="shared" si="48"/>
        <v>-1.6035226441417114</v>
      </c>
      <c r="U152" s="19">
        <f t="shared" si="48"/>
        <v>-0.66668576411722036</v>
      </c>
      <c r="V152" s="19">
        <f t="shared" si="48"/>
        <v>-1.1037605273526578</v>
      </c>
      <c r="W152" s="16">
        <f t="shared" si="51"/>
        <v>-6.6063656893697145</v>
      </c>
    </row>
    <row r="153" spans="3:23" x14ac:dyDescent="0.3">
      <c r="C153" s="20" t="s">
        <v>10</v>
      </c>
      <c r="D153" s="25" t="str">
        <f>+D150</f>
        <v>Agr</v>
      </c>
      <c r="E153" s="5">
        <f t="shared" si="49"/>
        <v>8.4917030453668456</v>
      </c>
      <c r="F153" s="6">
        <f t="shared" si="49"/>
        <v>3.9937898688114797</v>
      </c>
      <c r="G153" s="6">
        <f t="shared" si="49"/>
        <v>3.2671780326210964</v>
      </c>
      <c r="H153" s="6">
        <f t="shared" si="49"/>
        <v>5.342137396762924</v>
      </c>
      <c r="I153" s="6">
        <f t="shared" si="49"/>
        <v>7.7379802964611688</v>
      </c>
      <c r="J153" s="6">
        <f t="shared" si="49"/>
        <v>7.6304905316580838</v>
      </c>
      <c r="K153" s="6">
        <f t="shared" si="49"/>
        <v>7.7092533655118416</v>
      </c>
      <c r="L153" s="6">
        <f t="shared" si="49"/>
        <v>7.6229652943601325</v>
      </c>
      <c r="M153" s="7">
        <f t="shared" si="49"/>
        <v>7.6255060034619806</v>
      </c>
      <c r="N153" s="19">
        <f t="shared" si="50"/>
        <v>-0.50829695463315439</v>
      </c>
      <c r="O153" s="19">
        <f t="shared" si="48"/>
        <v>-1.0062101311885203</v>
      </c>
      <c r="P153" s="19">
        <f t="shared" si="48"/>
        <v>-0.73282196737890359</v>
      </c>
      <c r="Q153" s="19">
        <f t="shared" si="48"/>
        <v>-1.657862603237076</v>
      </c>
      <c r="R153" s="19">
        <f t="shared" si="48"/>
        <v>-2.2620197035388312</v>
      </c>
      <c r="S153" s="19">
        <f t="shared" si="48"/>
        <v>-1.3695094683419162</v>
      </c>
      <c r="T153" s="19">
        <f t="shared" si="48"/>
        <v>-2.2907466344881584</v>
      </c>
      <c r="U153" s="19">
        <f t="shared" si="48"/>
        <v>-1.3770347056398675</v>
      </c>
      <c r="V153" s="19">
        <f t="shared" si="48"/>
        <v>-1.3744939965380194</v>
      </c>
      <c r="W153" s="16">
        <f t="shared" si="51"/>
        <v>-12.578996164984448</v>
      </c>
    </row>
    <row r="154" spans="3:23" x14ac:dyDescent="0.3">
      <c r="C154" s="20" t="s">
        <v>10</v>
      </c>
      <c r="D154" s="25" t="str">
        <f t="shared" ref="D154:D158" si="52">+D151</f>
        <v>Ind</v>
      </c>
      <c r="E154" s="5">
        <f t="shared" si="49"/>
        <v>3.5620107518033524</v>
      </c>
      <c r="F154" s="6">
        <f t="shared" si="49"/>
        <v>1.5975159475245917</v>
      </c>
      <c r="G154" s="6">
        <f t="shared" si="49"/>
        <v>2.4217345132117778</v>
      </c>
      <c r="H154" s="6">
        <f t="shared" si="49"/>
        <v>4.5789749115110769</v>
      </c>
      <c r="I154" s="6">
        <f t="shared" si="49"/>
        <v>5.4165862075228182</v>
      </c>
      <c r="J154" s="6">
        <f t="shared" si="49"/>
        <v>3.3302737308944841</v>
      </c>
      <c r="K154" s="6">
        <f t="shared" si="49"/>
        <v>6.9383280289606573</v>
      </c>
      <c r="L154" s="6">
        <f t="shared" si="49"/>
        <v>1.6666571179413898</v>
      </c>
      <c r="M154" s="7">
        <f t="shared" si="49"/>
        <v>6.7385593973112483</v>
      </c>
      <c r="N154" s="19">
        <f t="shared" si="50"/>
        <v>-0.43798924819664764</v>
      </c>
      <c r="O154" s="19">
        <f t="shared" si="48"/>
        <v>-0.4024840524754083</v>
      </c>
      <c r="P154" s="19">
        <f t="shared" si="48"/>
        <v>-0.5782654867882222</v>
      </c>
      <c r="Q154" s="19">
        <f t="shared" si="48"/>
        <v>-1.4210250884889231</v>
      </c>
      <c r="R154" s="19">
        <f t="shared" si="48"/>
        <v>-1.5834137924771818</v>
      </c>
      <c r="S154" s="19">
        <f t="shared" si="48"/>
        <v>-0.66972626910551591</v>
      </c>
      <c r="T154" s="19">
        <f t="shared" si="48"/>
        <v>-2.0616719710393427</v>
      </c>
      <c r="U154" s="19">
        <f t="shared" si="48"/>
        <v>-0.33334288205861018</v>
      </c>
      <c r="V154" s="19">
        <f t="shared" si="48"/>
        <v>-1.2614406026887517</v>
      </c>
      <c r="W154" s="16">
        <f t="shared" si="51"/>
        <v>-8.7493593933186027</v>
      </c>
    </row>
    <row r="155" spans="3:23" x14ac:dyDescent="0.3">
      <c r="C155" s="20" t="s">
        <v>10</v>
      </c>
      <c r="D155" s="25" t="str">
        <f t="shared" si="52"/>
        <v>Serv</v>
      </c>
      <c r="E155" s="5">
        <f t="shared" si="49"/>
        <v>5.3430161277050283</v>
      </c>
      <c r="F155" s="6">
        <f t="shared" si="49"/>
        <v>3.9937898688114797</v>
      </c>
      <c r="G155" s="6">
        <f t="shared" si="49"/>
        <v>3.2289793509490372</v>
      </c>
      <c r="H155" s="6">
        <f t="shared" si="49"/>
        <v>0.76316248525184616</v>
      </c>
      <c r="I155" s="6">
        <f t="shared" si="49"/>
        <v>6.964182266815051</v>
      </c>
      <c r="J155" s="6">
        <f t="shared" si="49"/>
        <v>1.665136865447242</v>
      </c>
      <c r="K155" s="6">
        <f t="shared" si="49"/>
        <v>0.77092533655118411</v>
      </c>
      <c r="L155" s="6">
        <f t="shared" si="49"/>
        <v>4.9999713538241695</v>
      </c>
      <c r="M155" s="7">
        <f t="shared" si="49"/>
        <v>0.84231992466390604</v>
      </c>
      <c r="N155" s="19">
        <f t="shared" si="50"/>
        <v>-0.65698387229497168</v>
      </c>
      <c r="O155" s="19">
        <f t="shared" si="48"/>
        <v>-1.0062101311885203</v>
      </c>
      <c r="P155" s="19">
        <f t="shared" si="48"/>
        <v>-0.77102064905096279</v>
      </c>
      <c r="Q155" s="19">
        <f t="shared" si="48"/>
        <v>-0.23683751474815384</v>
      </c>
      <c r="R155" s="19">
        <f t="shared" si="48"/>
        <v>-2.035817733184949</v>
      </c>
      <c r="S155" s="19">
        <f t="shared" si="48"/>
        <v>-0.33486313455275796</v>
      </c>
      <c r="T155" s="19">
        <f t="shared" si="48"/>
        <v>-0.22907466344881589</v>
      </c>
      <c r="U155" s="19">
        <f t="shared" si="48"/>
        <v>-1.0000286461758305</v>
      </c>
      <c r="V155" s="19">
        <f t="shared" si="48"/>
        <v>-0.15768007533609396</v>
      </c>
      <c r="W155" s="16">
        <f t="shared" si="51"/>
        <v>-6.4285164199810554</v>
      </c>
    </row>
    <row r="156" spans="3:23" x14ac:dyDescent="0.3">
      <c r="C156" s="20" t="s">
        <v>11</v>
      </c>
      <c r="D156" s="25" t="str">
        <f t="shared" si="52"/>
        <v>Agr</v>
      </c>
      <c r="E156" s="5">
        <f t="shared" si="49"/>
        <v>3.0993560895515917</v>
      </c>
      <c r="F156" s="6">
        <f t="shared" si="49"/>
        <v>7.9875797376229594</v>
      </c>
      <c r="G156" s="6">
        <f t="shared" si="49"/>
        <v>6.492208397598608</v>
      </c>
      <c r="H156" s="6">
        <f t="shared" si="49"/>
        <v>6.8684623672666154</v>
      </c>
      <c r="I156" s="6">
        <f t="shared" si="49"/>
        <v>7.7379802964611688</v>
      </c>
      <c r="J156" s="6">
        <f t="shared" si="49"/>
        <v>0.12317282464347348</v>
      </c>
      <c r="K156" s="6">
        <f t="shared" si="49"/>
        <v>5.3964773558582886</v>
      </c>
      <c r="L156" s="6">
        <f t="shared" si="49"/>
        <v>7.6102486799072384</v>
      </c>
      <c r="M156" s="7">
        <f t="shared" si="49"/>
        <v>6.7785725651522331</v>
      </c>
      <c r="N156" s="19">
        <f t="shared" si="50"/>
        <v>9.9356089551591698E-2</v>
      </c>
      <c r="O156" s="19">
        <f t="shared" si="48"/>
        <v>-2.0124202623770406</v>
      </c>
      <c r="P156" s="19">
        <f t="shared" si="48"/>
        <v>-1.507791602401392</v>
      </c>
      <c r="Q156" s="19">
        <f t="shared" si="48"/>
        <v>-2.1315376327333846</v>
      </c>
      <c r="R156" s="19">
        <f t="shared" si="48"/>
        <v>-2.2620197035388312</v>
      </c>
      <c r="S156" s="19">
        <f t="shared" si="48"/>
        <v>0.12317282464347348</v>
      </c>
      <c r="T156" s="19">
        <f t="shared" si="48"/>
        <v>-1.6035226441417114</v>
      </c>
      <c r="U156" s="19">
        <f t="shared" si="48"/>
        <v>-1.3897513200927616</v>
      </c>
      <c r="V156" s="19">
        <f t="shared" si="48"/>
        <v>-1.2214274348477669</v>
      </c>
      <c r="W156" s="16">
        <f t="shared" si="51"/>
        <v>-11.905941685937822</v>
      </c>
    </row>
    <row r="157" spans="3:23" x14ac:dyDescent="0.3">
      <c r="C157" s="20" t="s">
        <v>11</v>
      </c>
      <c r="D157" s="25" t="str">
        <f t="shared" si="52"/>
        <v>Ind</v>
      </c>
      <c r="E157" s="5">
        <f t="shared" si="49"/>
        <v>0.89050268795083809</v>
      </c>
      <c r="F157" s="6">
        <f t="shared" si="49"/>
        <v>6.3900637900983668</v>
      </c>
      <c r="G157" s="6">
        <f t="shared" si="49"/>
        <v>0</v>
      </c>
      <c r="H157" s="6">
        <f t="shared" si="49"/>
        <v>6.8684623672666154</v>
      </c>
      <c r="I157" s="6">
        <f t="shared" si="49"/>
        <v>0</v>
      </c>
      <c r="J157" s="6">
        <f t="shared" si="49"/>
        <v>0</v>
      </c>
      <c r="K157" s="6">
        <f t="shared" si="49"/>
        <v>6.1674026924094729</v>
      </c>
      <c r="L157" s="6">
        <f t="shared" si="49"/>
        <v>8.3332855897069482</v>
      </c>
      <c r="M157" s="7">
        <f t="shared" si="49"/>
        <v>0.84231992466390604</v>
      </c>
      <c r="N157" s="19">
        <f t="shared" si="50"/>
        <v>-0.10949731204916191</v>
      </c>
      <c r="O157" s="19">
        <f t="shared" si="48"/>
        <v>-1.6099362099016332</v>
      </c>
      <c r="P157" s="19">
        <f t="shared" si="48"/>
        <v>0</v>
      </c>
      <c r="Q157" s="19">
        <f t="shared" si="48"/>
        <v>-2.1315376327333846</v>
      </c>
      <c r="R157" s="19">
        <f t="shared" si="48"/>
        <v>0</v>
      </c>
      <c r="S157" s="19">
        <f t="shared" si="48"/>
        <v>0</v>
      </c>
      <c r="T157" s="19">
        <f t="shared" si="48"/>
        <v>-1.8325973075905271</v>
      </c>
      <c r="U157" s="19">
        <f t="shared" si="48"/>
        <v>-1.6667144102930518</v>
      </c>
      <c r="V157" s="19">
        <f t="shared" si="48"/>
        <v>-0.15768007533609396</v>
      </c>
      <c r="W157" s="16">
        <f t="shared" si="51"/>
        <v>-7.5079629479038523</v>
      </c>
    </row>
    <row r="158" spans="3:23" x14ac:dyDescent="0.3">
      <c r="C158" s="20" t="s">
        <v>11</v>
      </c>
      <c r="D158" s="25" t="str">
        <f t="shared" si="52"/>
        <v>Serv</v>
      </c>
      <c r="E158" s="9">
        <f t="shared" si="49"/>
        <v>8.9050268795083802</v>
      </c>
      <c r="F158" s="10">
        <f t="shared" si="49"/>
        <v>1.5975159475245917</v>
      </c>
      <c r="G158" s="10">
        <f t="shared" si="49"/>
        <v>3.2289793509490372</v>
      </c>
      <c r="H158" s="10">
        <f t="shared" si="49"/>
        <v>7.6316248525184616</v>
      </c>
      <c r="I158" s="10">
        <f t="shared" si="49"/>
        <v>0</v>
      </c>
      <c r="J158" s="10">
        <f t="shared" si="49"/>
        <v>0</v>
      </c>
      <c r="K158" s="10">
        <f t="shared" si="49"/>
        <v>2.3127760096535526</v>
      </c>
      <c r="L158" s="10">
        <f t="shared" si="49"/>
        <v>0</v>
      </c>
      <c r="M158" s="11">
        <f t="shared" si="49"/>
        <v>5.8962394726473422</v>
      </c>
      <c r="N158" s="19">
        <f t="shared" si="50"/>
        <v>-1.0949731204916198</v>
      </c>
      <c r="O158" s="19">
        <f t="shared" si="48"/>
        <v>-0.4024840524754083</v>
      </c>
      <c r="P158" s="19">
        <f t="shared" si="48"/>
        <v>-0.77102064905096279</v>
      </c>
      <c r="Q158" s="19">
        <f t="shared" si="48"/>
        <v>-2.3683751474815384</v>
      </c>
      <c r="R158" s="19">
        <f t="shared" si="48"/>
        <v>0</v>
      </c>
      <c r="S158" s="19">
        <f t="shared" si="48"/>
        <v>0</v>
      </c>
      <c r="T158" s="19">
        <f t="shared" si="48"/>
        <v>-0.68722399034644743</v>
      </c>
      <c r="U158" s="19">
        <f t="shared" si="48"/>
        <v>0</v>
      </c>
      <c r="V158" s="19">
        <f t="shared" si="48"/>
        <v>-1.1037605273526578</v>
      </c>
      <c r="W158" s="16">
        <f t="shared" si="51"/>
        <v>-6.4278374871986346</v>
      </c>
    </row>
    <row r="159" spans="3:23" x14ac:dyDescent="0.3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338.17665691216882</v>
      </c>
      <c r="O159" s="18"/>
    </row>
    <row r="161" spans="1:23" x14ac:dyDescent="0.3">
      <c r="A161" s="66"/>
    </row>
    <row r="162" spans="1:23" ht="15" thickBot="1" x14ac:dyDescent="0.35">
      <c r="A162" s="68" t="s">
        <v>41</v>
      </c>
      <c r="E162" s="20" t="s">
        <v>1</v>
      </c>
      <c r="F162" s="20" t="s">
        <v>1</v>
      </c>
      <c r="G162" s="20" t="s">
        <v>1</v>
      </c>
      <c r="H162" s="20" t="s">
        <v>10</v>
      </c>
      <c r="I162" s="20" t="s">
        <v>10</v>
      </c>
      <c r="J162" s="20" t="s">
        <v>10</v>
      </c>
      <c r="K162" s="20" t="s">
        <v>11</v>
      </c>
      <c r="L162" s="20" t="s">
        <v>11</v>
      </c>
      <c r="M162" s="20" t="s">
        <v>11</v>
      </c>
    </row>
    <row r="163" spans="1:23" ht="15" thickBot="1" x14ac:dyDescent="0.35">
      <c r="D163" s="23" t="s">
        <v>42</v>
      </c>
      <c r="E163" s="27" t="s">
        <v>51</v>
      </c>
      <c r="F163" s="26" t="s">
        <v>52</v>
      </c>
      <c r="G163" s="26" t="s">
        <v>53</v>
      </c>
      <c r="H163" s="26" t="s">
        <v>51</v>
      </c>
      <c r="I163" s="26" t="s">
        <v>52</v>
      </c>
      <c r="J163" s="26" t="s">
        <v>53</v>
      </c>
      <c r="K163" s="26" t="s">
        <v>51</v>
      </c>
      <c r="L163" s="26" t="s">
        <v>52</v>
      </c>
      <c r="M163" s="26" t="s">
        <v>53</v>
      </c>
    </row>
    <row r="164" spans="1:23" x14ac:dyDescent="0.3">
      <c r="D164" s="28" t="str" cm="1">
        <f t="array" ref="D164:D166">+_xlfn.UNIQUE($D$150:$D$158)</f>
        <v>Agr</v>
      </c>
      <c r="E164" s="1">
        <f>+SUMIF($D$5:$D$13,$D164,E$5:E$13)</f>
        <v>22</v>
      </c>
      <c r="F164" s="2">
        <f t="shared" ref="F164:M166" si="53">+SUMIF($D$5:$D$13,$D164,F$5:F$13)</f>
        <v>20</v>
      </c>
      <c r="G164" s="2">
        <f t="shared" si="53"/>
        <v>22</v>
      </c>
      <c r="H164" s="2">
        <f t="shared" si="53"/>
        <v>17</v>
      </c>
      <c r="I164" s="2">
        <f t="shared" si="53"/>
        <v>20</v>
      </c>
      <c r="J164" s="2">
        <f t="shared" si="53"/>
        <v>17</v>
      </c>
      <c r="K164" s="2">
        <f t="shared" si="53"/>
        <v>20</v>
      </c>
      <c r="L164" s="2">
        <f t="shared" si="53"/>
        <v>25</v>
      </c>
      <c r="M164" s="3">
        <f t="shared" si="53"/>
        <v>19</v>
      </c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3">
      <c r="D165" s="25" t="str">
        <v>Ind</v>
      </c>
      <c r="E165" s="5">
        <f t="shared" ref="E165:E166" si="54">+SUMIF($D$5:$D$13,$D165,E$5:E$13)</f>
        <v>13</v>
      </c>
      <c r="F165" s="6">
        <f t="shared" si="53"/>
        <v>13</v>
      </c>
      <c r="G165" s="6">
        <f t="shared" si="53"/>
        <v>12</v>
      </c>
      <c r="H165" s="6">
        <f t="shared" si="53"/>
        <v>19</v>
      </c>
      <c r="I165" s="6">
        <f t="shared" si="53"/>
        <v>9</v>
      </c>
      <c r="J165" s="6">
        <f t="shared" si="53"/>
        <v>14</v>
      </c>
      <c r="K165" s="6">
        <f t="shared" si="53"/>
        <v>18</v>
      </c>
      <c r="L165" s="6">
        <f t="shared" si="53"/>
        <v>16</v>
      </c>
      <c r="M165" s="7">
        <f t="shared" si="53"/>
        <v>16</v>
      </c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x14ac:dyDescent="0.3">
      <c r="D166" s="25" t="str">
        <v>Serv</v>
      </c>
      <c r="E166" s="9">
        <f t="shared" si="54"/>
        <v>16</v>
      </c>
      <c r="F166" s="10">
        <f t="shared" si="53"/>
        <v>7</v>
      </c>
      <c r="G166" s="10">
        <f t="shared" si="53"/>
        <v>8</v>
      </c>
      <c r="H166" s="10">
        <f t="shared" si="53"/>
        <v>18</v>
      </c>
      <c r="I166" s="10">
        <f t="shared" si="53"/>
        <v>13</v>
      </c>
      <c r="J166" s="10">
        <f t="shared" si="53"/>
        <v>6</v>
      </c>
      <c r="K166" s="10">
        <f t="shared" si="53"/>
        <v>11</v>
      </c>
      <c r="L166" s="10">
        <f t="shared" si="53"/>
        <v>10</v>
      </c>
      <c r="M166" s="11">
        <f t="shared" si="53"/>
        <v>15</v>
      </c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x14ac:dyDescent="0.3">
      <c r="D167" s="25" t="s">
        <v>8</v>
      </c>
      <c r="E167" s="70">
        <f>+E15</f>
        <v>71</v>
      </c>
      <c r="F167" s="71">
        <f t="shared" ref="F167:M167" si="55">+F15</f>
        <v>55</v>
      </c>
      <c r="G167" s="71">
        <f t="shared" si="55"/>
        <v>47</v>
      </c>
      <c r="H167" s="71">
        <f t="shared" si="55"/>
        <v>82</v>
      </c>
      <c r="I167" s="71">
        <f t="shared" si="55"/>
        <v>50</v>
      </c>
      <c r="J167" s="71">
        <f t="shared" si="55"/>
        <v>55</v>
      </c>
      <c r="K167" s="71">
        <f t="shared" si="55"/>
        <v>79</v>
      </c>
      <c r="L167" s="71">
        <f t="shared" si="55"/>
        <v>65</v>
      </c>
      <c r="M167" s="72">
        <f t="shared" si="55"/>
        <v>60</v>
      </c>
      <c r="N167" s="19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x14ac:dyDescent="0.3"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" thickBot="1" x14ac:dyDescent="0.35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" thickBot="1" x14ac:dyDescent="0.35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x14ac:dyDescent="0.3">
      <c r="D171" s="28" t="str" cm="1">
        <f t="array" ref="D171:D173">+_xlfn.UNIQUE($D$150:$D$158)</f>
        <v>Agr</v>
      </c>
      <c r="E171" s="1">
        <f t="shared" ref="E171:M173" si="56">+E164/E$167</f>
        <v>0.30985915492957744</v>
      </c>
      <c r="F171" s="2">
        <f t="shared" si="56"/>
        <v>0.36363636363636365</v>
      </c>
      <c r="G171" s="2">
        <f t="shared" si="56"/>
        <v>0.46808510638297873</v>
      </c>
      <c r="H171" s="2">
        <f t="shared" si="56"/>
        <v>0.2073170731707317</v>
      </c>
      <c r="I171" s="2">
        <f t="shared" si="56"/>
        <v>0.4</v>
      </c>
      <c r="J171" s="2">
        <f t="shared" si="56"/>
        <v>0.30909090909090908</v>
      </c>
      <c r="K171" s="2">
        <f t="shared" si="56"/>
        <v>0.25316455696202533</v>
      </c>
      <c r="L171" s="2">
        <f t="shared" si="56"/>
        <v>0.38461538461538464</v>
      </c>
      <c r="M171" s="3">
        <f t="shared" si="56"/>
        <v>0.31666666666666665</v>
      </c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x14ac:dyDescent="0.3">
      <c r="D172" s="25" t="str">
        <v>Ind</v>
      </c>
      <c r="E172" s="5">
        <f t="shared" si="56"/>
        <v>0.18309859154929578</v>
      </c>
      <c r="F172" s="6">
        <f t="shared" si="56"/>
        <v>0.23636363636363636</v>
      </c>
      <c r="G172" s="6">
        <f t="shared" si="56"/>
        <v>0.25531914893617019</v>
      </c>
      <c r="H172" s="6">
        <f t="shared" si="56"/>
        <v>0.23170731707317074</v>
      </c>
      <c r="I172" s="6">
        <f t="shared" si="56"/>
        <v>0.18</v>
      </c>
      <c r="J172" s="6">
        <f t="shared" si="56"/>
        <v>0.25454545454545452</v>
      </c>
      <c r="K172" s="6">
        <f t="shared" si="56"/>
        <v>0.22784810126582278</v>
      </c>
      <c r="L172" s="6">
        <f t="shared" si="56"/>
        <v>0.24615384615384617</v>
      </c>
      <c r="M172" s="7">
        <f t="shared" si="56"/>
        <v>0.26666666666666666</v>
      </c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x14ac:dyDescent="0.3">
      <c r="D173" s="25" t="str">
        <v>Serv</v>
      </c>
      <c r="E173" s="9">
        <f t="shared" si="56"/>
        <v>0.22535211267605634</v>
      </c>
      <c r="F173" s="10">
        <f t="shared" si="56"/>
        <v>0.12727272727272726</v>
      </c>
      <c r="G173" s="10">
        <f t="shared" si="56"/>
        <v>0.1702127659574468</v>
      </c>
      <c r="H173" s="10">
        <f t="shared" si="56"/>
        <v>0.21951219512195122</v>
      </c>
      <c r="I173" s="10">
        <f t="shared" si="56"/>
        <v>0.26</v>
      </c>
      <c r="J173" s="10">
        <f t="shared" si="56"/>
        <v>0.10909090909090909</v>
      </c>
      <c r="K173" s="10">
        <f t="shared" si="56"/>
        <v>0.13924050632911392</v>
      </c>
      <c r="L173" s="10">
        <f t="shared" si="56"/>
        <v>0.15384615384615385</v>
      </c>
      <c r="M173" s="11">
        <f t="shared" si="56"/>
        <v>0.25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3"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" thickBot="1" x14ac:dyDescent="0.35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" thickBot="1" x14ac:dyDescent="0.35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2:23" x14ac:dyDescent="0.3">
      <c r="D177" s="28" t="str" cm="1">
        <f t="array" ref="D177:D179">+_xlfn.UNIQUE($D$150:$D$158)</f>
        <v>Agr</v>
      </c>
      <c r="E177" s="1">
        <f>+SUMIF($D$150:$D$158,$D177,E$150:E$158)</f>
        <v>19.591059134918439</v>
      </c>
      <c r="F177" s="2">
        <f t="shared" ref="F177:M179" si="57">+SUMIF($D$150:$D$158,$D177,F$150:F$158)</f>
        <v>15.975159475245919</v>
      </c>
      <c r="G177" s="2">
        <f t="shared" si="57"/>
        <v>17.759386430219706</v>
      </c>
      <c r="H177" s="2">
        <f t="shared" si="57"/>
        <v>12.973762249281386</v>
      </c>
      <c r="I177" s="2">
        <f t="shared" si="57"/>
        <v>15.475960592922338</v>
      </c>
      <c r="J177" s="2">
        <f t="shared" si="57"/>
        <v>14.153663356301559</v>
      </c>
      <c r="K177" s="2">
        <f t="shared" si="57"/>
        <v>15.418506731023683</v>
      </c>
      <c r="L177" s="2">
        <f t="shared" si="57"/>
        <v>20.833213974267373</v>
      </c>
      <c r="M177" s="3">
        <f t="shared" si="57"/>
        <v>16.004078568614212</v>
      </c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2:23" x14ac:dyDescent="0.3">
      <c r="D178" s="25" t="str">
        <v>Ind</v>
      </c>
      <c r="E178" s="5">
        <f t="shared" ref="E178:E179" si="58">+SUMIF($D$150:$D$158,$D178,E$150:E$158)</f>
        <v>11.576534943360894</v>
      </c>
      <c r="F178" s="6">
        <f t="shared" si="57"/>
        <v>10.383853658909846</v>
      </c>
      <c r="G178" s="6">
        <f t="shared" si="57"/>
        <v>9.6869380528471112</v>
      </c>
      <c r="H178" s="6">
        <f t="shared" si="57"/>
        <v>14.500087219785076</v>
      </c>
      <c r="I178" s="6">
        <f t="shared" si="57"/>
        <v>6.9641822668150519</v>
      </c>
      <c r="J178" s="6">
        <f t="shared" si="57"/>
        <v>11.655958058130695</v>
      </c>
      <c r="K178" s="6">
        <f t="shared" si="57"/>
        <v>13.876656057921315</v>
      </c>
      <c r="L178" s="6">
        <f t="shared" si="57"/>
        <v>13.333256943531119</v>
      </c>
      <c r="M178" s="7">
        <f t="shared" si="57"/>
        <v>13.477118794622497</v>
      </c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2:23" x14ac:dyDescent="0.3">
      <c r="D179" s="25" t="str">
        <v>Serv</v>
      </c>
      <c r="E179" s="9">
        <f t="shared" si="58"/>
        <v>14.248043007213408</v>
      </c>
      <c r="F179" s="10">
        <f t="shared" si="57"/>
        <v>5.5913058163360709</v>
      </c>
      <c r="G179" s="10">
        <f t="shared" si="57"/>
        <v>6.4579587018980744</v>
      </c>
      <c r="H179" s="10">
        <f t="shared" si="57"/>
        <v>13.736924734533233</v>
      </c>
      <c r="I179" s="10">
        <f t="shared" si="57"/>
        <v>10.059374385399519</v>
      </c>
      <c r="J179" s="10">
        <f t="shared" si="57"/>
        <v>4.9954105963417259</v>
      </c>
      <c r="K179" s="10">
        <f t="shared" si="57"/>
        <v>8.480178702063025</v>
      </c>
      <c r="L179" s="10">
        <f t="shared" si="57"/>
        <v>8.33328558970695</v>
      </c>
      <c r="M179" s="11">
        <f t="shared" si="57"/>
        <v>12.63479886995859</v>
      </c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2:23" x14ac:dyDescent="0.3"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2:23" x14ac:dyDescent="0.3">
      <c r="E181" s="1">
        <f>+E177/E171</f>
        <v>63.225690844509515</v>
      </c>
      <c r="F181" s="2">
        <f t="shared" ref="F181:M181" si="59">+F177/F171</f>
        <v>43.931688556926275</v>
      </c>
      <c r="G181" s="2">
        <f t="shared" si="59"/>
        <v>37.940507373651187</v>
      </c>
      <c r="H181" s="2">
        <f t="shared" si="59"/>
        <v>62.579323790651394</v>
      </c>
      <c r="I181" s="2">
        <f t="shared" si="59"/>
        <v>38.689901482305842</v>
      </c>
      <c r="J181" s="2">
        <f t="shared" si="59"/>
        <v>45.791263799799161</v>
      </c>
      <c r="K181" s="2">
        <f t="shared" si="59"/>
        <v>60.903101587543546</v>
      </c>
      <c r="L181" s="2">
        <f t="shared" si="59"/>
        <v>54.166356333095166</v>
      </c>
      <c r="M181" s="3">
        <f t="shared" si="59"/>
        <v>50.539195479834355</v>
      </c>
      <c r="N181" s="19">
        <f t="shared" ref="N181:N183" si="60">+SUM(E181:M181)</f>
        <v>457.76702924831642</v>
      </c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2:23" x14ac:dyDescent="0.3">
      <c r="E182" s="5">
        <f t="shared" ref="E182:M183" si="61">+E178/E172</f>
        <v>63.225690844509494</v>
      </c>
      <c r="F182" s="6">
        <f t="shared" si="61"/>
        <v>43.931688556926275</v>
      </c>
      <c r="G182" s="6">
        <f t="shared" si="61"/>
        <v>37.940507373651187</v>
      </c>
      <c r="H182" s="6">
        <f t="shared" si="61"/>
        <v>62.57932379065138</v>
      </c>
      <c r="I182" s="6">
        <f t="shared" si="61"/>
        <v>38.689901482305842</v>
      </c>
      <c r="J182" s="6">
        <f t="shared" si="61"/>
        <v>45.791263799799161</v>
      </c>
      <c r="K182" s="6">
        <f t="shared" si="61"/>
        <v>60.903101587543546</v>
      </c>
      <c r="L182" s="6">
        <f t="shared" si="61"/>
        <v>54.166356333095166</v>
      </c>
      <c r="M182" s="7">
        <f t="shared" si="61"/>
        <v>50.539195479834362</v>
      </c>
      <c r="N182" s="19">
        <f t="shared" si="60"/>
        <v>457.76702924831642</v>
      </c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2:23" x14ac:dyDescent="0.3">
      <c r="E183" s="73">
        <f t="shared" si="61"/>
        <v>63.225690844509494</v>
      </c>
      <c r="F183" s="74">
        <f t="shared" si="61"/>
        <v>43.931688556926275</v>
      </c>
      <c r="G183" s="74">
        <f t="shared" si="61"/>
        <v>37.940507373651187</v>
      </c>
      <c r="H183" s="74">
        <f t="shared" si="61"/>
        <v>62.579323790651394</v>
      </c>
      <c r="I183" s="74">
        <f t="shared" si="61"/>
        <v>38.689901482305842</v>
      </c>
      <c r="J183" s="74">
        <f t="shared" si="61"/>
        <v>45.791263799799154</v>
      </c>
      <c r="K183" s="74">
        <f t="shared" si="61"/>
        <v>60.903101587543546</v>
      </c>
      <c r="L183" s="74">
        <f t="shared" si="61"/>
        <v>54.166356333095173</v>
      </c>
      <c r="M183" s="75">
        <f t="shared" si="61"/>
        <v>50.539195479834362</v>
      </c>
      <c r="N183" s="19">
        <f t="shared" si="60"/>
        <v>457.76702924831642</v>
      </c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2:23" x14ac:dyDescent="0.3">
      <c r="D184" s="25" t="s">
        <v>47</v>
      </c>
      <c r="E184" s="13">
        <f>+MIN(E181:E183)</f>
        <v>63.225690844509494</v>
      </c>
      <c r="F184" s="14">
        <f t="shared" ref="F184:M184" si="62">+MIN(F181:F183)</f>
        <v>43.931688556926275</v>
      </c>
      <c r="G184" s="14">
        <f t="shared" si="62"/>
        <v>37.940507373651187</v>
      </c>
      <c r="H184" s="14">
        <f t="shared" si="62"/>
        <v>62.57932379065138</v>
      </c>
      <c r="I184" s="14">
        <f t="shared" si="62"/>
        <v>38.689901482305842</v>
      </c>
      <c r="J184" s="14">
        <f t="shared" si="62"/>
        <v>45.791263799799154</v>
      </c>
      <c r="K184" s="14">
        <f t="shared" si="62"/>
        <v>60.903101587543546</v>
      </c>
      <c r="L184" s="14">
        <f t="shared" si="62"/>
        <v>54.166356333095166</v>
      </c>
      <c r="M184" s="15">
        <f t="shared" si="62"/>
        <v>50.539195479834355</v>
      </c>
      <c r="N184" s="19">
        <f>+SUM(E184:M184)</f>
        <v>457.76702924831642</v>
      </c>
    </row>
    <row r="185" spans="2:23" x14ac:dyDescent="0.3">
      <c r="E185" s="18"/>
      <c r="F185" s="18"/>
      <c r="G185" s="18"/>
      <c r="H185" s="18"/>
      <c r="I185" s="18"/>
      <c r="J185" s="18"/>
      <c r="K185" s="18"/>
      <c r="L185" s="18"/>
      <c r="M185" s="18"/>
      <c r="N185" s="18">
        <f>+N184-O14</f>
        <v>-106.23297075168358</v>
      </c>
      <c r="O185" s="18" t="s">
        <v>64</v>
      </c>
      <c r="P185" s="18"/>
      <c r="Q185" s="18"/>
      <c r="R185" s="18"/>
      <c r="S185" s="18"/>
      <c r="T185" s="18"/>
      <c r="U185" s="18"/>
      <c r="V185" s="18"/>
      <c r="W185" s="18"/>
    </row>
    <row r="186" spans="2:23" x14ac:dyDescent="0.3">
      <c r="E186" s="18"/>
      <c r="F186" s="18"/>
      <c r="G186" s="18"/>
      <c r="H186" s="18"/>
      <c r="I186" s="18"/>
      <c r="J186" s="18"/>
      <c r="K186" s="18"/>
      <c r="L186" s="18"/>
      <c r="M186" s="18"/>
      <c r="N186" s="18">
        <f>+N185/O57</f>
        <v>7.481195123357975</v>
      </c>
      <c r="O186" s="18" t="s">
        <v>65</v>
      </c>
      <c r="P186" s="18"/>
      <c r="Q186" s="18"/>
      <c r="R186" s="18"/>
      <c r="S186" s="18"/>
      <c r="T186" s="18"/>
      <c r="U186" s="18"/>
      <c r="V186" s="18"/>
      <c r="W186" s="18"/>
    </row>
    <row r="187" spans="2:23" x14ac:dyDescent="0.3">
      <c r="B187" s="16"/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  <c r="J187" s="114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2:23" x14ac:dyDescent="0.3">
      <c r="B188" s="143">
        <f>+MAX(E188/C188,0)</f>
        <v>0</v>
      </c>
      <c r="C188" s="5" cm="1">
        <f t="array" ref="C188:C196">+H47:H55</f>
        <v>25</v>
      </c>
      <c r="D188" s="136">
        <f>+MAX(G188-SUM(E150:M150),0)</f>
        <v>26.555962480792608</v>
      </c>
      <c r="E188" s="117">
        <f>+C188-D188</f>
        <v>-1.5559624807926085</v>
      </c>
      <c r="F188" s="78">
        <f>+SUM(E150:M150)+C188</f>
        <v>61.669728363716885</v>
      </c>
      <c r="G188" s="79" cm="1">
        <f t="array" ref="G188:G196">+TRANSPOSE(E184:M184)</f>
        <v>63.225690844509494</v>
      </c>
      <c r="H188" s="117">
        <f>+F188-G188</f>
        <v>-1.5559624807926085</v>
      </c>
      <c r="I188" s="120" t="b">
        <f>+H188&lt;0.01</f>
        <v>1</v>
      </c>
      <c r="J188" s="16"/>
      <c r="K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2:23" x14ac:dyDescent="0.3">
      <c r="B189" s="143">
        <f t="shared" ref="B189:B196" si="63">+MAX(E189/C189,0)</f>
        <v>1.6838382540148211E-15</v>
      </c>
      <c r="C189" s="5">
        <v>4.219780219780219</v>
      </c>
      <c r="D189" s="79">
        <f t="shared" ref="D189:D196" si="64">+MAX(G189-SUM(E151:M151),0)</f>
        <v>4.2197802197802119</v>
      </c>
      <c r="E189" s="117">
        <f t="shared" ref="E189:E196" si="65">+C189-D189</f>
        <v>7.1054273576010019E-15</v>
      </c>
      <c r="F189" s="78">
        <f>+SUM(E151:M151)+C189</f>
        <v>43.931688556926282</v>
      </c>
      <c r="G189" s="79">
        <v>43.931688556926275</v>
      </c>
      <c r="H189" s="117">
        <f t="shared" ref="H189:H196" si="66">+F189-G189</f>
        <v>0</v>
      </c>
      <c r="I189" s="120" t="b">
        <f t="shared" ref="I189:I196" si="67">+H189&lt;0.01</f>
        <v>1</v>
      </c>
      <c r="J189" s="16"/>
      <c r="K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2:23" x14ac:dyDescent="0.3">
      <c r="B190" s="143">
        <f t="shared" si="63"/>
        <v>0</v>
      </c>
      <c r="C190" s="5">
        <v>11.546873063020897</v>
      </c>
      <c r="D190" s="79">
        <f t="shared" si="64"/>
        <v>11.5468730630209</v>
      </c>
      <c r="E190" s="117">
        <f t="shared" si="65"/>
        <v>0</v>
      </c>
      <c r="F190" s="78">
        <f t="shared" ref="F190:F196" si="68">+SUM(E152:M152)+C190</f>
        <v>37.940507373651187</v>
      </c>
      <c r="G190" s="79">
        <v>37.940507373651187</v>
      </c>
      <c r="H190" s="117">
        <f t="shared" si="66"/>
        <v>0</v>
      </c>
      <c r="I190" s="120" t="b">
        <f t="shared" si="67"/>
        <v>1</v>
      </c>
      <c r="J190" s="16"/>
      <c r="K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2:23" x14ac:dyDescent="0.3">
      <c r="B191" s="143">
        <f t="shared" si="63"/>
        <v>0.20619439999185496</v>
      </c>
      <c r="C191" s="5">
        <v>3.9787070733734033</v>
      </c>
      <c r="D191" s="79">
        <f t="shared" si="64"/>
        <v>3.1583199556358252</v>
      </c>
      <c r="E191" s="117">
        <f t="shared" si="65"/>
        <v>0.82038711773757811</v>
      </c>
      <c r="F191" s="78">
        <f t="shared" si="68"/>
        <v>63.399710908388954</v>
      </c>
      <c r="G191" s="79">
        <v>62.57932379065138</v>
      </c>
      <c r="H191" s="117">
        <f t="shared" si="66"/>
        <v>0.82038711773757456</v>
      </c>
      <c r="I191" s="120" t="b">
        <f t="shared" si="67"/>
        <v>0</v>
      </c>
      <c r="J191" s="16"/>
      <c r="K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2:23" x14ac:dyDescent="0.3">
      <c r="B192" s="143">
        <f t="shared" si="63"/>
        <v>0</v>
      </c>
      <c r="C192" s="5">
        <v>2.4392608756244445</v>
      </c>
      <c r="D192" s="79">
        <f t="shared" si="64"/>
        <v>2.4392608756244485</v>
      </c>
      <c r="E192" s="117">
        <f t="shared" si="65"/>
        <v>-3.9968028886505635E-15</v>
      </c>
      <c r="F192" s="78">
        <f t="shared" si="68"/>
        <v>38.689901482305835</v>
      </c>
      <c r="G192" s="79">
        <v>38.689901482305842</v>
      </c>
      <c r="H192" s="117">
        <f t="shared" si="66"/>
        <v>0</v>
      </c>
      <c r="I192" s="120" t="b">
        <f t="shared" si="67"/>
        <v>1</v>
      </c>
      <c r="J192" s="16"/>
      <c r="K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2:23" x14ac:dyDescent="0.3">
      <c r="B193" s="143">
        <f t="shared" si="63"/>
        <v>0</v>
      </c>
      <c r="C193" s="5">
        <v>17.219780219780212</v>
      </c>
      <c r="D193" s="79">
        <f t="shared" si="64"/>
        <v>17.219780219780212</v>
      </c>
      <c r="E193" s="117">
        <f t="shared" si="65"/>
        <v>0</v>
      </c>
      <c r="F193" s="78">
        <f t="shared" si="68"/>
        <v>45.791263799799154</v>
      </c>
      <c r="G193" s="79">
        <v>45.791263799799154</v>
      </c>
      <c r="H193" s="117">
        <f t="shared" si="66"/>
        <v>0</v>
      </c>
      <c r="I193" s="120" t="b">
        <f t="shared" si="67"/>
        <v>1</v>
      </c>
      <c r="J193" s="16"/>
      <c r="K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2:23" x14ac:dyDescent="0.3">
      <c r="B194" s="143">
        <f t="shared" si="63"/>
        <v>7.7067024997656955E-2</v>
      </c>
      <c r="C194" s="5">
        <v>9.5446186365364269</v>
      </c>
      <c r="D194" s="79">
        <f t="shared" si="64"/>
        <v>8.8090432734813717</v>
      </c>
      <c r="E194" s="117">
        <f t="shared" si="65"/>
        <v>0.73557536305505522</v>
      </c>
      <c r="F194" s="78">
        <f t="shared" si="68"/>
        <v>61.638676950598601</v>
      </c>
      <c r="G194" s="79">
        <v>60.903101587543546</v>
      </c>
      <c r="H194" s="117">
        <f t="shared" si="66"/>
        <v>0.73557536305505522</v>
      </c>
      <c r="I194" s="120" t="b">
        <f t="shared" si="67"/>
        <v>0</v>
      </c>
      <c r="J194" s="16"/>
      <c r="K194" s="18"/>
    </row>
    <row r="195" spans="2:23" x14ac:dyDescent="0.3">
      <c r="B195" s="143">
        <f t="shared" si="63"/>
        <v>0</v>
      </c>
      <c r="C195" s="5">
        <v>24.674319280999015</v>
      </c>
      <c r="D195" s="79">
        <f t="shared" si="64"/>
        <v>24.674319280999022</v>
      </c>
      <c r="E195" s="117">
        <f t="shared" si="65"/>
        <v>0</v>
      </c>
      <c r="F195" s="78">
        <f t="shared" si="68"/>
        <v>54.166356333095159</v>
      </c>
      <c r="G195" s="79">
        <v>54.166356333095166</v>
      </c>
      <c r="H195" s="117">
        <f t="shared" si="66"/>
        <v>0</v>
      </c>
      <c r="I195" s="120" t="b">
        <f t="shared" si="67"/>
        <v>1</v>
      </c>
      <c r="J195" s="16"/>
      <c r="K195" s="18"/>
    </row>
    <row r="196" spans="2:23" x14ac:dyDescent="0.3">
      <c r="B196" s="143">
        <f t="shared" si="63"/>
        <v>0</v>
      </c>
      <c r="C196" s="9">
        <v>20.967032967032985</v>
      </c>
      <c r="D196" s="79">
        <f t="shared" si="64"/>
        <v>20.967032967032988</v>
      </c>
      <c r="E196" s="118">
        <f t="shared" si="65"/>
        <v>0</v>
      </c>
      <c r="F196" s="80">
        <f t="shared" si="68"/>
        <v>50.539195479834348</v>
      </c>
      <c r="G196" s="81">
        <v>50.539195479834355</v>
      </c>
      <c r="H196" s="118">
        <f t="shared" si="66"/>
        <v>0</v>
      </c>
      <c r="I196" s="120" t="b">
        <f t="shared" si="67"/>
        <v>1</v>
      </c>
      <c r="J196" s="16"/>
      <c r="K196" s="18"/>
    </row>
    <row r="198" spans="2:23" ht="15" thickBot="1" x14ac:dyDescent="0.35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23" ht="15" thickBot="1" x14ac:dyDescent="0.35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23" x14ac:dyDescent="0.3">
      <c r="C200" s="20" t="s">
        <v>1</v>
      </c>
      <c r="D200" s="28" t="s">
        <v>51</v>
      </c>
      <c r="E200" s="1">
        <f>+E150/E$184</f>
        <v>0.12653084360397651</v>
      </c>
      <c r="F200" s="2">
        <f t="shared" ref="F200:M200" si="69">+F150/F$184</f>
        <v>9.0909090909090912E-2</v>
      </c>
      <c r="G200" s="2">
        <f t="shared" si="69"/>
        <v>0.21085643165530824</v>
      </c>
      <c r="H200" s="2">
        <f t="shared" si="69"/>
        <v>1.2195121951219513E-2</v>
      </c>
      <c r="I200" s="2">
        <f t="shared" si="69"/>
        <v>0</v>
      </c>
      <c r="J200" s="2">
        <f t="shared" si="69"/>
        <v>0.13976465091640627</v>
      </c>
      <c r="K200" s="2">
        <f t="shared" si="69"/>
        <v>3.7974683544303799E-2</v>
      </c>
      <c r="L200" s="2">
        <f t="shared" si="69"/>
        <v>0.10338520770278303</v>
      </c>
      <c r="M200" s="3">
        <f t="shared" si="69"/>
        <v>3.1658596556773763E-2</v>
      </c>
    </row>
    <row r="201" spans="2:23" x14ac:dyDescent="0.3">
      <c r="C201" s="20" t="s">
        <v>1</v>
      </c>
      <c r="D201" s="25" t="s">
        <v>52</v>
      </c>
      <c r="E201" s="5">
        <f t="shared" ref="E201:M208" si="70">+E151/E$184</f>
        <v>0.11267605633802819</v>
      </c>
      <c r="F201" s="6">
        <f t="shared" si="70"/>
        <v>5.4545454545454543E-2</v>
      </c>
      <c r="G201" s="6">
        <f t="shared" si="70"/>
        <v>0.19148936170212766</v>
      </c>
      <c r="H201" s="6">
        <f t="shared" si="70"/>
        <v>4.878048780487805E-2</v>
      </c>
      <c r="I201" s="6">
        <f t="shared" si="70"/>
        <v>0.04</v>
      </c>
      <c r="J201" s="6">
        <f t="shared" si="70"/>
        <v>0.18181818181818182</v>
      </c>
      <c r="K201" s="6">
        <f t="shared" si="70"/>
        <v>1.2658227848101266E-2</v>
      </c>
      <c r="L201" s="6">
        <f t="shared" si="70"/>
        <v>6.1538461538461542E-2</v>
      </c>
      <c r="M201" s="7">
        <f t="shared" si="70"/>
        <v>0.11666666666666668</v>
      </c>
    </row>
    <row r="202" spans="2:23" x14ac:dyDescent="0.3">
      <c r="C202" s="20" t="s">
        <v>1</v>
      </c>
      <c r="D202" s="25" t="s">
        <v>53</v>
      </c>
      <c r="E202" s="5">
        <f t="shared" si="70"/>
        <v>0</v>
      </c>
      <c r="F202" s="6">
        <f t="shared" si="70"/>
        <v>0</v>
      </c>
      <c r="G202" s="6">
        <f t="shared" si="70"/>
        <v>0</v>
      </c>
      <c r="H202" s="6">
        <f t="shared" si="70"/>
        <v>8.5365853658536606E-2</v>
      </c>
      <c r="I202" s="6">
        <f t="shared" si="70"/>
        <v>0.08</v>
      </c>
      <c r="J202" s="6">
        <f t="shared" si="70"/>
        <v>7.2727272727272738E-2</v>
      </c>
      <c r="K202" s="6">
        <f t="shared" si="70"/>
        <v>8.8607594936708861E-2</v>
      </c>
      <c r="L202" s="6">
        <f t="shared" si="70"/>
        <v>6.1538461538461542E-2</v>
      </c>
      <c r="M202" s="7">
        <f t="shared" si="70"/>
        <v>0.11666666666666668</v>
      </c>
    </row>
    <row r="203" spans="2:23" x14ac:dyDescent="0.3">
      <c r="C203" s="20" t="s">
        <v>10</v>
      </c>
      <c r="D203" s="25" t="str">
        <f>+D200</f>
        <v>Agr</v>
      </c>
      <c r="E203" s="5">
        <f t="shared" si="70"/>
        <v>0.13430779374559043</v>
      </c>
      <c r="F203" s="6">
        <f t="shared" si="70"/>
        <v>9.0909090909090912E-2</v>
      </c>
      <c r="G203" s="6">
        <f t="shared" si="70"/>
        <v>8.6113187692636831E-2</v>
      </c>
      <c r="H203" s="6">
        <f t="shared" si="70"/>
        <v>8.5365853658536606E-2</v>
      </c>
      <c r="I203" s="6">
        <f t="shared" si="70"/>
        <v>0.2</v>
      </c>
      <c r="J203" s="6">
        <f t="shared" si="70"/>
        <v>0.16663638210595866</v>
      </c>
      <c r="K203" s="6">
        <f t="shared" si="70"/>
        <v>0.12658227848101267</v>
      </c>
      <c r="L203" s="6">
        <f t="shared" si="70"/>
        <v>0.14073247326223728</v>
      </c>
      <c r="M203" s="7">
        <f t="shared" si="70"/>
        <v>0.15088301131553694</v>
      </c>
    </row>
    <row r="204" spans="2:23" x14ac:dyDescent="0.3">
      <c r="C204" s="20" t="s">
        <v>10</v>
      </c>
      <c r="D204" s="25" t="str">
        <f t="shared" ref="D204:D208" si="71">+D201</f>
        <v>Ind</v>
      </c>
      <c r="E204" s="5">
        <f t="shared" si="70"/>
        <v>5.6338028169014093E-2</v>
      </c>
      <c r="F204" s="6">
        <f t="shared" si="70"/>
        <v>3.6363636363636362E-2</v>
      </c>
      <c r="G204" s="6">
        <f t="shared" si="70"/>
        <v>6.3829787234042548E-2</v>
      </c>
      <c r="H204" s="6">
        <f t="shared" si="70"/>
        <v>7.3170731707317083E-2</v>
      </c>
      <c r="I204" s="6">
        <f t="shared" si="70"/>
        <v>0.14000000000000001</v>
      </c>
      <c r="J204" s="6">
        <f t="shared" si="70"/>
        <v>7.2727272727272738E-2</v>
      </c>
      <c r="K204" s="6">
        <f t="shared" si="70"/>
        <v>0.11392405063291139</v>
      </c>
      <c r="L204" s="6">
        <f t="shared" si="70"/>
        <v>3.0769230769230771E-2</v>
      </c>
      <c r="M204" s="7">
        <f t="shared" si="70"/>
        <v>0.13333333333333336</v>
      </c>
    </row>
    <row r="205" spans="2:23" x14ac:dyDescent="0.3">
      <c r="C205" s="20" t="s">
        <v>10</v>
      </c>
      <c r="D205" s="25" t="str">
        <f t="shared" si="71"/>
        <v>Serv</v>
      </c>
      <c r="E205" s="5">
        <f t="shared" si="70"/>
        <v>8.4507042253521139E-2</v>
      </c>
      <c r="F205" s="6">
        <f t="shared" si="70"/>
        <v>9.0909090909090912E-2</v>
      </c>
      <c r="G205" s="6">
        <f t="shared" si="70"/>
        <v>8.5106382978723402E-2</v>
      </c>
      <c r="H205" s="6">
        <f t="shared" si="70"/>
        <v>1.2195121951219513E-2</v>
      </c>
      <c r="I205" s="6">
        <f t="shared" si="70"/>
        <v>0.18</v>
      </c>
      <c r="J205" s="6">
        <f t="shared" si="70"/>
        <v>3.6363636363636369E-2</v>
      </c>
      <c r="K205" s="6">
        <f t="shared" si="70"/>
        <v>1.2658227848101266E-2</v>
      </c>
      <c r="L205" s="6">
        <f t="shared" si="70"/>
        <v>9.2307692307692313E-2</v>
      </c>
      <c r="M205" s="7">
        <f t="shared" si="70"/>
        <v>1.666666666666667E-2</v>
      </c>
    </row>
    <row r="206" spans="2:23" x14ac:dyDescent="0.3">
      <c r="C206" s="20" t="s">
        <v>11</v>
      </c>
      <c r="D206" s="25" t="str">
        <f t="shared" si="71"/>
        <v>Agr</v>
      </c>
      <c r="E206" s="5">
        <f t="shared" si="70"/>
        <v>4.9020517580010581E-2</v>
      </c>
      <c r="F206" s="6">
        <f t="shared" si="70"/>
        <v>0.18181818181818182</v>
      </c>
      <c r="G206" s="6">
        <f t="shared" si="70"/>
        <v>0.17111548703503365</v>
      </c>
      <c r="H206" s="6">
        <f t="shared" si="70"/>
        <v>0.10975609756097562</v>
      </c>
      <c r="I206" s="6">
        <f t="shared" si="70"/>
        <v>0.2</v>
      </c>
      <c r="J206" s="6">
        <f t="shared" si="70"/>
        <v>2.6898760685441867E-3</v>
      </c>
      <c r="K206" s="6">
        <f t="shared" si="70"/>
        <v>8.8607594936708861E-2</v>
      </c>
      <c r="L206" s="6">
        <f t="shared" si="70"/>
        <v>0.14049770365036429</v>
      </c>
      <c r="M206" s="7">
        <f t="shared" si="70"/>
        <v>0.13412505879435599</v>
      </c>
    </row>
    <row r="207" spans="2:23" x14ac:dyDescent="0.3">
      <c r="C207" s="20" t="s">
        <v>11</v>
      </c>
      <c r="D207" s="25" t="str">
        <f t="shared" si="71"/>
        <v>Ind</v>
      </c>
      <c r="E207" s="5">
        <f t="shared" si="70"/>
        <v>1.4084507042253523E-2</v>
      </c>
      <c r="F207" s="6">
        <f t="shared" si="70"/>
        <v>0.14545454545454545</v>
      </c>
      <c r="G207" s="6">
        <f t="shared" si="70"/>
        <v>0</v>
      </c>
      <c r="H207" s="6">
        <f t="shared" si="70"/>
        <v>0.10975609756097562</v>
      </c>
      <c r="I207" s="6">
        <f t="shared" si="70"/>
        <v>0</v>
      </c>
      <c r="J207" s="6">
        <f t="shared" si="70"/>
        <v>0</v>
      </c>
      <c r="K207" s="6">
        <f t="shared" si="70"/>
        <v>0.10126582278481013</v>
      </c>
      <c r="L207" s="6">
        <f t="shared" si="70"/>
        <v>0.15384615384615383</v>
      </c>
      <c r="M207" s="7">
        <f t="shared" si="70"/>
        <v>1.666666666666667E-2</v>
      </c>
    </row>
    <row r="208" spans="2:23" x14ac:dyDescent="0.3">
      <c r="C208" s="20" t="s">
        <v>11</v>
      </c>
      <c r="D208" s="25" t="str">
        <f t="shared" si="71"/>
        <v>Serv</v>
      </c>
      <c r="E208" s="9">
        <f t="shared" si="70"/>
        <v>0.14084507042253522</v>
      </c>
      <c r="F208" s="10">
        <f t="shared" si="70"/>
        <v>3.6363636363636362E-2</v>
      </c>
      <c r="G208" s="10">
        <f t="shared" si="70"/>
        <v>8.5106382978723402E-2</v>
      </c>
      <c r="H208" s="10">
        <f t="shared" si="70"/>
        <v>0.12195121951219513</v>
      </c>
      <c r="I208" s="10">
        <f t="shared" si="70"/>
        <v>0</v>
      </c>
      <c r="J208" s="10">
        <f t="shared" si="70"/>
        <v>0</v>
      </c>
      <c r="K208" s="10">
        <f t="shared" si="70"/>
        <v>3.7974683544303799E-2</v>
      </c>
      <c r="L208" s="10">
        <f t="shared" si="70"/>
        <v>0</v>
      </c>
      <c r="M208" s="11">
        <f t="shared" si="70"/>
        <v>0.11666666666666668</v>
      </c>
    </row>
    <row r="211" spans="3:13" ht="15" thickBot="1" x14ac:dyDescent="0.35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" thickBot="1" x14ac:dyDescent="0.35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3">
      <c r="C213" s="20" t="s">
        <v>1</v>
      </c>
      <c r="D213" s="28" t="s">
        <v>51</v>
      </c>
      <c r="E213" s="1" cm="1">
        <f t="array" ref="E213:M221">+MINVERSE(_xlfn.MUNIT(COUNTA($D$213:$D$221))-E200:M208)</f>
        <v>1.3148807032623631</v>
      </c>
      <c r="F213" s="2">
        <v>0.28452899300426981</v>
      </c>
      <c r="G213" s="2">
        <v>0.44729638324288901</v>
      </c>
      <c r="H213" s="2">
        <v>0.19378491062147882</v>
      </c>
      <c r="I213" s="2">
        <v>0.21692365282080625</v>
      </c>
      <c r="J213" s="2">
        <v>0.32861236611607725</v>
      </c>
      <c r="K213" s="2">
        <v>0.20741131510550881</v>
      </c>
      <c r="L213" s="2">
        <v>0.32428534122541658</v>
      </c>
      <c r="M213" s="3">
        <v>0.25343727486119971</v>
      </c>
    </row>
    <row r="214" spans="3:13" x14ac:dyDescent="0.3">
      <c r="C214" s="20" t="s">
        <v>1</v>
      </c>
      <c r="D214" s="25" t="s">
        <v>52</v>
      </c>
      <c r="E214" s="5">
        <v>0.33069017575216719</v>
      </c>
      <c r="F214" s="6">
        <v>1.2580761042524888</v>
      </c>
      <c r="G214" s="6">
        <v>0.44779628294097906</v>
      </c>
      <c r="H214" s="6">
        <v>0.24850451212735677</v>
      </c>
      <c r="I214" s="6">
        <v>0.28433982795091817</v>
      </c>
      <c r="J214" s="6">
        <v>0.38411574680740423</v>
      </c>
      <c r="K214" s="6">
        <v>0.19771884190803779</v>
      </c>
      <c r="L214" s="6">
        <v>0.29087226835629909</v>
      </c>
      <c r="M214" s="7">
        <v>0.36527951293108307</v>
      </c>
    </row>
    <row r="215" spans="3:13" x14ac:dyDescent="0.3">
      <c r="C215" s="20" t="s">
        <v>1</v>
      </c>
      <c r="D215" s="25" t="s">
        <v>53</v>
      </c>
      <c r="E215" s="5">
        <v>0.16265496690407225</v>
      </c>
      <c r="F215" s="6">
        <v>0.16157579634630223</v>
      </c>
      <c r="G215" s="6">
        <v>1.1875385884081224</v>
      </c>
      <c r="H215" s="6">
        <v>0.24312526198894902</v>
      </c>
      <c r="I215" s="6">
        <v>0.27216017752974259</v>
      </c>
      <c r="J215" s="6">
        <v>0.20693758527003503</v>
      </c>
      <c r="K215" s="6">
        <v>0.23358908001340284</v>
      </c>
      <c r="L215" s="6">
        <v>0.22968515846898976</v>
      </c>
      <c r="M215" s="7">
        <v>0.31032995812350084</v>
      </c>
    </row>
    <row r="216" spans="3:13" x14ac:dyDescent="0.3">
      <c r="C216" s="20" t="s">
        <v>10</v>
      </c>
      <c r="D216" s="25" t="str">
        <f>+D213</f>
        <v>Agr</v>
      </c>
      <c r="E216" s="5">
        <v>0.47991195667957981</v>
      </c>
      <c r="F216" s="6">
        <v>0.43341643078896169</v>
      </c>
      <c r="G216" s="6">
        <v>0.50586095372271145</v>
      </c>
      <c r="H216" s="6">
        <v>1.4110742089416097</v>
      </c>
      <c r="I216" s="6">
        <v>0.59624071454113747</v>
      </c>
      <c r="J216" s="6">
        <v>0.47977508415876874</v>
      </c>
      <c r="K216" s="6">
        <v>0.43193562019551218</v>
      </c>
      <c r="L216" s="6">
        <v>0.50737842722203097</v>
      </c>
      <c r="M216" s="7">
        <v>0.55649155165628295</v>
      </c>
    </row>
    <row r="217" spans="3:13" x14ac:dyDescent="0.3">
      <c r="C217" s="20" t="s">
        <v>10</v>
      </c>
      <c r="D217" s="25" t="str">
        <f t="shared" ref="D217:D221" si="72">+D214</f>
        <v>Ind</v>
      </c>
      <c r="E217" s="5">
        <v>0.2786883928029274</v>
      </c>
      <c r="F217" s="6">
        <v>0.24834660713504</v>
      </c>
      <c r="G217" s="6">
        <v>0.33051558932557751</v>
      </c>
      <c r="H217" s="6">
        <v>0.28506681226597413</v>
      </c>
      <c r="I217" s="6">
        <v>1.3997245380686258</v>
      </c>
      <c r="J217" s="6">
        <v>0.26802483205734579</v>
      </c>
      <c r="K217" s="6">
        <v>0.31065079542026552</v>
      </c>
      <c r="L217" s="6">
        <v>0.25528174261871761</v>
      </c>
      <c r="M217" s="7">
        <v>0.40345620705059743</v>
      </c>
    </row>
    <row r="218" spans="3:13" x14ac:dyDescent="0.3">
      <c r="C218" s="20" t="s">
        <v>10</v>
      </c>
      <c r="D218" s="25" t="str">
        <f t="shared" si="72"/>
        <v>Serv</v>
      </c>
      <c r="E218" s="5">
        <v>0.24760479626169865</v>
      </c>
      <c r="F218" s="6">
        <v>0.25197357817791494</v>
      </c>
      <c r="G218" s="6">
        <v>0.28806808026821512</v>
      </c>
      <c r="H218" s="6">
        <v>0.17069107729985564</v>
      </c>
      <c r="I218" s="6">
        <v>0.36844779687508727</v>
      </c>
      <c r="J218" s="6">
        <v>1.2007225503798862</v>
      </c>
      <c r="K218" s="6">
        <v>0.16736220617825298</v>
      </c>
      <c r="L218" s="6">
        <v>0.2700934035695069</v>
      </c>
      <c r="M218" s="7">
        <v>0.21813453072780523</v>
      </c>
    </row>
    <row r="219" spans="3:13" x14ac:dyDescent="0.3">
      <c r="C219" s="20" t="s">
        <v>11</v>
      </c>
      <c r="D219" s="25" t="str">
        <f t="shared" si="72"/>
        <v>Agr</v>
      </c>
      <c r="E219" s="5">
        <v>0.36354282127462123</v>
      </c>
      <c r="F219" s="6">
        <v>0.48478533997548307</v>
      </c>
      <c r="G219" s="6">
        <v>0.54860276985305478</v>
      </c>
      <c r="H219" s="6">
        <v>0.42343826589292988</v>
      </c>
      <c r="I219" s="6">
        <v>0.55667763505152679</v>
      </c>
      <c r="J219" s="6">
        <v>0.30468815309416181</v>
      </c>
      <c r="K219" s="6">
        <v>1.3796580511075711</v>
      </c>
      <c r="L219" s="6">
        <v>0.47256414621737436</v>
      </c>
      <c r="M219" s="7">
        <v>0.53002126324939658</v>
      </c>
    </row>
    <row r="220" spans="3:13" x14ac:dyDescent="0.3">
      <c r="C220" s="20" t="s">
        <v>11</v>
      </c>
      <c r="D220" s="25" t="str">
        <f t="shared" si="72"/>
        <v>Ind</v>
      </c>
      <c r="E220" s="5">
        <v>0.19080999978640387</v>
      </c>
      <c r="F220" s="6">
        <v>0.3390470908811038</v>
      </c>
      <c r="G220" s="6">
        <v>0.22155529611037453</v>
      </c>
      <c r="H220" s="6">
        <v>0.28512002880003401</v>
      </c>
      <c r="I220" s="6">
        <v>0.19997147044866873</v>
      </c>
      <c r="J220" s="6">
        <v>0.17349543713356314</v>
      </c>
      <c r="K220" s="6">
        <v>0.26217986408866406</v>
      </c>
      <c r="L220" s="6">
        <v>1.3630556577377906</v>
      </c>
      <c r="M220" s="7">
        <v>0.22856727676554356</v>
      </c>
    </row>
    <row r="221" spans="3:13" x14ac:dyDescent="0.3">
      <c r="C221" s="20" t="s">
        <v>11</v>
      </c>
      <c r="D221" s="25" t="str">
        <f t="shared" si="72"/>
        <v>Serv</v>
      </c>
      <c r="E221" s="9">
        <v>0.32082318161127643</v>
      </c>
      <c r="F221" s="10">
        <v>0.19340274543115618</v>
      </c>
      <c r="G221" s="10">
        <v>0.29759262168600348</v>
      </c>
      <c r="H221" s="10">
        <v>0.27756661528995968</v>
      </c>
      <c r="I221" s="10">
        <v>0.17876237530636674</v>
      </c>
      <c r="J221" s="10">
        <v>0.1674821653229964</v>
      </c>
      <c r="K221" s="10">
        <v>0.18266005197608781</v>
      </c>
      <c r="L221" s="10">
        <v>0.17617327928915086</v>
      </c>
      <c r="M221" s="11">
        <v>1.3170357233060699</v>
      </c>
    </row>
    <row r="223" spans="3:13" x14ac:dyDescent="0.3">
      <c r="E223" s="16"/>
      <c r="F223" s="16"/>
      <c r="G223" s="18"/>
      <c r="I223" s="16"/>
      <c r="L223" s="16"/>
    </row>
    <row r="224" spans="3:13" x14ac:dyDescent="0.3">
      <c r="E224" s="16"/>
      <c r="F224" s="16"/>
      <c r="G224" s="18"/>
      <c r="I224" s="16"/>
      <c r="L224" s="16"/>
    </row>
    <row r="225" spans="5:12" x14ac:dyDescent="0.3">
      <c r="E225" s="16"/>
      <c r="F225" s="16"/>
      <c r="G225" s="18"/>
      <c r="I225" s="16"/>
      <c r="L225" s="16"/>
    </row>
    <row r="226" spans="5:12" x14ac:dyDescent="0.3">
      <c r="E226" s="16"/>
      <c r="F226" s="16"/>
      <c r="G226" s="18"/>
      <c r="I226" s="16"/>
      <c r="L226" s="16"/>
    </row>
    <row r="227" spans="5:12" x14ac:dyDescent="0.3">
      <c r="E227" s="16"/>
      <c r="F227" s="16"/>
      <c r="G227" s="18"/>
      <c r="I227" s="16"/>
      <c r="L227" s="16"/>
    </row>
    <row r="228" spans="5:12" x14ac:dyDescent="0.3">
      <c r="E228" s="16"/>
      <c r="F228" s="16"/>
      <c r="G228" s="18"/>
      <c r="I228" s="16"/>
      <c r="L228" s="16"/>
    </row>
    <row r="229" spans="5:12" x14ac:dyDescent="0.3">
      <c r="E229" s="16"/>
      <c r="F229" s="16"/>
      <c r="G229" s="18"/>
      <c r="I229" s="16"/>
      <c r="L229" s="16"/>
    </row>
    <row r="230" spans="5:12" x14ac:dyDescent="0.3">
      <c r="E230" s="16"/>
      <c r="F230" s="16"/>
      <c r="G230" s="18"/>
      <c r="I230" s="16"/>
      <c r="L230" s="16"/>
    </row>
    <row r="231" spans="5:12" x14ac:dyDescent="0.3">
      <c r="E231" s="16"/>
      <c r="F231" s="16"/>
      <c r="G231" s="18"/>
      <c r="I231" s="16"/>
      <c r="L231" s="16"/>
    </row>
    <row r="234" spans="5:12" x14ac:dyDescent="0.3">
      <c r="E234" s="16"/>
    </row>
    <row r="235" spans="5:12" x14ac:dyDescent="0.3">
      <c r="E235" s="16"/>
      <c r="F235" s="18"/>
    </row>
    <row r="236" spans="5:12" x14ac:dyDescent="0.3">
      <c r="E236" s="16"/>
      <c r="F236" s="18"/>
    </row>
    <row r="237" spans="5:12" x14ac:dyDescent="0.3">
      <c r="E237" s="16"/>
      <c r="F237" s="18"/>
    </row>
    <row r="238" spans="5:12" x14ac:dyDescent="0.3">
      <c r="E238" s="16"/>
      <c r="F238" s="18"/>
    </row>
    <row r="239" spans="5:12" x14ac:dyDescent="0.3">
      <c r="E239" s="16"/>
      <c r="F239" s="18"/>
    </row>
    <row r="240" spans="5:12" x14ac:dyDescent="0.3">
      <c r="E240" s="16"/>
      <c r="F240" s="18"/>
    </row>
    <row r="241" spans="5:6" x14ac:dyDescent="0.3">
      <c r="E241" s="16"/>
      <c r="F241" s="18"/>
    </row>
    <row r="242" spans="5:6" x14ac:dyDescent="0.3">
      <c r="E242" s="16"/>
      <c r="F242" s="18"/>
    </row>
    <row r="243" spans="5:6" x14ac:dyDescent="0.3">
      <c r="F243" s="18"/>
    </row>
  </sheetData>
  <conditionalFormatting sqref="E88:M88">
    <cfRule type="expression" dxfId="23" priority="2">
      <formula>E88&lt;E89</formula>
    </cfRule>
  </conditionalFormatting>
  <conditionalFormatting sqref="E89:M89">
    <cfRule type="expression" dxfId="22" priority="1">
      <formula>E89&lt;E88</formula>
    </cfRule>
  </conditionalFormatting>
  <conditionalFormatting sqref="E106:M115">
    <cfRule type="expression" dxfId="21" priority="10">
      <formula>E106&lt;0</formula>
    </cfRule>
  </conditionalFormatting>
  <conditionalFormatting sqref="E131:M133">
    <cfRule type="expression" dxfId="20" priority="8">
      <formula>E131&lt;0</formula>
    </cfRule>
  </conditionalFormatting>
  <conditionalFormatting sqref="E137:M145">
    <cfRule type="expression" dxfId="19" priority="9">
      <formula>E137&lt;0</formula>
    </cfRule>
  </conditionalFormatting>
  <conditionalFormatting sqref="N78:V8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0:V15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4:W172">
    <cfRule type="containsText" dxfId="18" priority="3" operator="containsText" text="FALSO">
      <formula>NOT(ISERROR(SEARCH("FALSO",O164)))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0:W142 V136:W1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FBA0-68EE-4491-99DF-9418480E6915}">
  <dimension ref="A3:AJ243"/>
  <sheetViews>
    <sheetView showGridLines="0" topLeftCell="A159" zoomScaleNormal="100" workbookViewId="0">
      <selection activeCell="E47" sqref="E47:E55"/>
    </sheetView>
  </sheetViews>
  <sheetFormatPr defaultRowHeight="14.4" x14ac:dyDescent="0.3"/>
  <cols>
    <col min="1" max="1" width="12.6640625" style="65" customWidth="1"/>
    <col min="2" max="14" width="12.6640625" customWidth="1"/>
    <col min="15" max="15" width="16.6640625" bestFit="1" customWidth="1"/>
    <col min="16" max="23" width="12.6640625" customWidth="1"/>
    <col min="29" max="29" width="16.33203125" bestFit="1" customWidth="1"/>
  </cols>
  <sheetData>
    <row r="3" spans="3:18" ht="15" thickBot="1" x14ac:dyDescent="0.35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" thickBot="1" x14ac:dyDescent="0.35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3">
      <c r="C5" s="20" t="s">
        <v>1</v>
      </c>
      <c r="D5" s="28" t="s">
        <v>51</v>
      </c>
      <c r="E5" s="1">
        <v>10</v>
      </c>
      <c r="F5" s="2">
        <v>5</v>
      </c>
      <c r="G5" s="2">
        <v>10</v>
      </c>
      <c r="H5" s="2">
        <v>1</v>
      </c>
      <c r="I5" s="2">
        <v>0</v>
      </c>
      <c r="J5" s="2">
        <v>8</v>
      </c>
      <c r="K5" s="2">
        <v>3</v>
      </c>
      <c r="L5" s="2">
        <v>7</v>
      </c>
      <c r="M5" s="3">
        <v>2</v>
      </c>
      <c r="N5" s="24">
        <v>25</v>
      </c>
      <c r="O5" s="29">
        <f>+SUM(E5:N5)</f>
        <v>71</v>
      </c>
      <c r="P5" s="62" cm="1">
        <f t="array" ref="P5:P13">+MMULT(E21:M29,O5:O13)</f>
        <v>46</v>
      </c>
      <c r="Q5" s="61">
        <f>+P5+N5</f>
        <v>71</v>
      </c>
      <c r="R5" s="61" t="b">
        <f>+Q5=O5</f>
        <v>1</v>
      </c>
    </row>
    <row r="6" spans="3:18" x14ac:dyDescent="0.3">
      <c r="C6" s="20" t="s">
        <v>1</v>
      </c>
      <c r="D6" s="25" t="s">
        <v>52</v>
      </c>
      <c r="E6" s="5">
        <v>8</v>
      </c>
      <c r="F6" s="6">
        <v>3</v>
      </c>
      <c r="G6" s="6">
        <v>9</v>
      </c>
      <c r="H6" s="6">
        <v>4</v>
      </c>
      <c r="I6" s="6">
        <v>2</v>
      </c>
      <c r="J6" s="6">
        <v>10</v>
      </c>
      <c r="K6" s="6">
        <v>1</v>
      </c>
      <c r="L6" s="6">
        <v>4</v>
      </c>
      <c r="M6" s="7">
        <v>7</v>
      </c>
      <c r="N6" s="8">
        <v>7</v>
      </c>
      <c r="O6" s="30">
        <f t="shared" ref="O6:O13" si="0">+SUM(E6:N6)</f>
        <v>55</v>
      </c>
      <c r="P6" s="62">
        <v>48</v>
      </c>
      <c r="Q6" s="61">
        <f t="shared" ref="Q6:Q13" si="1">+P6+N6</f>
        <v>55</v>
      </c>
      <c r="R6" s="61" t="b">
        <f t="shared" ref="R6:R13" si="2">+Q6=O6</f>
        <v>1</v>
      </c>
    </row>
    <row r="7" spans="3:18" x14ac:dyDescent="0.3">
      <c r="C7" s="20" t="s">
        <v>1</v>
      </c>
      <c r="D7" s="25" t="s">
        <v>53</v>
      </c>
      <c r="E7" s="5">
        <v>0</v>
      </c>
      <c r="F7" s="6">
        <v>0</v>
      </c>
      <c r="G7" s="6">
        <v>0</v>
      </c>
      <c r="H7" s="6">
        <v>7</v>
      </c>
      <c r="I7" s="6">
        <v>4</v>
      </c>
      <c r="J7" s="6">
        <v>4</v>
      </c>
      <c r="K7" s="6">
        <v>7</v>
      </c>
      <c r="L7" s="6">
        <v>4</v>
      </c>
      <c r="M7" s="7">
        <v>7</v>
      </c>
      <c r="N7" s="8">
        <v>14</v>
      </c>
      <c r="O7" s="30">
        <f t="shared" si="0"/>
        <v>47</v>
      </c>
      <c r="P7" s="62">
        <v>33</v>
      </c>
      <c r="Q7" s="61">
        <f t="shared" si="1"/>
        <v>47</v>
      </c>
      <c r="R7" s="61" t="b">
        <f t="shared" si="2"/>
        <v>1</v>
      </c>
    </row>
    <row r="8" spans="3:18" x14ac:dyDescent="0.3">
      <c r="C8" s="20" t="s">
        <v>10</v>
      </c>
      <c r="D8" s="25" t="str">
        <f>+D5</f>
        <v>Agr</v>
      </c>
      <c r="E8" s="5">
        <v>9</v>
      </c>
      <c r="F8" s="6">
        <v>5</v>
      </c>
      <c r="G8" s="6">
        <v>4</v>
      </c>
      <c r="H8" s="6">
        <v>7</v>
      </c>
      <c r="I8" s="6">
        <v>10</v>
      </c>
      <c r="J8" s="6">
        <v>9</v>
      </c>
      <c r="K8" s="6">
        <v>10</v>
      </c>
      <c r="L8" s="6">
        <v>9</v>
      </c>
      <c r="M8" s="7">
        <v>9</v>
      </c>
      <c r="N8" s="8">
        <v>10</v>
      </c>
      <c r="O8" s="30">
        <f t="shared" si="0"/>
        <v>82</v>
      </c>
      <c r="P8" s="62">
        <v>72</v>
      </c>
      <c r="Q8" s="61">
        <f t="shared" si="1"/>
        <v>82</v>
      </c>
      <c r="R8" s="61" t="b">
        <f t="shared" si="2"/>
        <v>1</v>
      </c>
    </row>
    <row r="9" spans="3:18" x14ac:dyDescent="0.3">
      <c r="C9" s="20" t="s">
        <v>10</v>
      </c>
      <c r="D9" s="25" t="str">
        <f t="shared" ref="D9:D13" si="3">+D6</f>
        <v>Ind</v>
      </c>
      <c r="E9" s="5">
        <v>4</v>
      </c>
      <c r="F9" s="6">
        <v>2</v>
      </c>
      <c r="G9" s="6">
        <v>3</v>
      </c>
      <c r="H9" s="6">
        <v>6</v>
      </c>
      <c r="I9" s="6">
        <v>7</v>
      </c>
      <c r="J9" s="6">
        <v>4</v>
      </c>
      <c r="K9" s="6">
        <v>9</v>
      </c>
      <c r="L9" s="6">
        <v>2</v>
      </c>
      <c r="M9" s="7">
        <v>8</v>
      </c>
      <c r="N9" s="8">
        <v>5</v>
      </c>
      <c r="O9" s="30">
        <f t="shared" si="0"/>
        <v>50</v>
      </c>
      <c r="P9" s="62">
        <v>45</v>
      </c>
      <c r="Q9" s="61">
        <f t="shared" si="1"/>
        <v>50</v>
      </c>
      <c r="R9" s="61" t="b">
        <f t="shared" si="2"/>
        <v>1</v>
      </c>
    </row>
    <row r="10" spans="3:18" x14ac:dyDescent="0.3">
      <c r="C10" s="20" t="s">
        <v>10</v>
      </c>
      <c r="D10" s="25" t="str">
        <f t="shared" si="3"/>
        <v>Serv</v>
      </c>
      <c r="E10" s="5">
        <v>6</v>
      </c>
      <c r="F10" s="6">
        <v>5</v>
      </c>
      <c r="G10" s="6">
        <v>4</v>
      </c>
      <c r="H10" s="6">
        <v>1</v>
      </c>
      <c r="I10" s="6">
        <v>9</v>
      </c>
      <c r="J10" s="6">
        <v>2</v>
      </c>
      <c r="K10" s="6">
        <v>1</v>
      </c>
      <c r="L10" s="6">
        <v>6</v>
      </c>
      <c r="M10" s="7">
        <v>1</v>
      </c>
      <c r="N10" s="8">
        <v>20</v>
      </c>
      <c r="O10" s="30">
        <f t="shared" si="0"/>
        <v>55</v>
      </c>
      <c r="P10" s="62">
        <v>35</v>
      </c>
      <c r="Q10" s="61">
        <f t="shared" si="1"/>
        <v>55</v>
      </c>
      <c r="R10" s="61" t="b">
        <f t="shared" si="2"/>
        <v>1</v>
      </c>
    </row>
    <row r="11" spans="3:18" x14ac:dyDescent="0.3">
      <c r="C11" s="20" t="s">
        <v>11</v>
      </c>
      <c r="D11" s="25" t="str">
        <f t="shared" si="3"/>
        <v>Agr</v>
      </c>
      <c r="E11" s="5">
        <v>3</v>
      </c>
      <c r="F11" s="6">
        <v>10</v>
      </c>
      <c r="G11" s="6">
        <v>8</v>
      </c>
      <c r="H11" s="6">
        <v>9</v>
      </c>
      <c r="I11" s="6">
        <v>10</v>
      </c>
      <c r="J11" s="6">
        <v>0</v>
      </c>
      <c r="K11" s="6">
        <v>7</v>
      </c>
      <c r="L11" s="6">
        <v>9</v>
      </c>
      <c r="M11" s="7">
        <v>8</v>
      </c>
      <c r="N11" s="8">
        <v>15</v>
      </c>
      <c r="O11" s="30">
        <f t="shared" si="0"/>
        <v>79</v>
      </c>
      <c r="P11" s="62">
        <v>64</v>
      </c>
      <c r="Q11" s="61">
        <f t="shared" si="1"/>
        <v>79</v>
      </c>
      <c r="R11" s="61" t="b">
        <f t="shared" si="2"/>
        <v>1</v>
      </c>
    </row>
    <row r="12" spans="3:18" x14ac:dyDescent="0.3">
      <c r="C12" s="20" t="s">
        <v>11</v>
      </c>
      <c r="D12" s="25" t="str">
        <f t="shared" si="3"/>
        <v>Ind</v>
      </c>
      <c r="E12" s="5">
        <v>1</v>
      </c>
      <c r="F12" s="6">
        <v>8</v>
      </c>
      <c r="G12" s="6">
        <v>0</v>
      </c>
      <c r="H12" s="6">
        <v>9</v>
      </c>
      <c r="I12" s="6">
        <v>0</v>
      </c>
      <c r="J12" s="6">
        <v>0</v>
      </c>
      <c r="K12" s="6">
        <v>8</v>
      </c>
      <c r="L12" s="6">
        <v>10</v>
      </c>
      <c r="M12" s="7">
        <v>1</v>
      </c>
      <c r="N12" s="8">
        <v>28</v>
      </c>
      <c r="O12" s="30">
        <f t="shared" si="0"/>
        <v>65</v>
      </c>
      <c r="P12" s="62">
        <v>37</v>
      </c>
      <c r="Q12" s="61">
        <f t="shared" si="1"/>
        <v>65</v>
      </c>
      <c r="R12" s="61" t="b">
        <f t="shared" si="2"/>
        <v>1</v>
      </c>
    </row>
    <row r="13" spans="3:18" x14ac:dyDescent="0.3">
      <c r="C13" s="20" t="s">
        <v>11</v>
      </c>
      <c r="D13" s="25" t="str">
        <f t="shared" si="3"/>
        <v>Serv</v>
      </c>
      <c r="E13" s="9">
        <v>10</v>
      </c>
      <c r="F13" s="10">
        <v>2</v>
      </c>
      <c r="G13" s="10">
        <v>4</v>
      </c>
      <c r="H13" s="10">
        <v>10</v>
      </c>
      <c r="I13" s="10">
        <v>0</v>
      </c>
      <c r="J13" s="10">
        <v>0</v>
      </c>
      <c r="K13" s="10">
        <v>3</v>
      </c>
      <c r="L13" s="10">
        <v>0</v>
      </c>
      <c r="M13" s="11">
        <v>7</v>
      </c>
      <c r="N13" s="12">
        <v>24</v>
      </c>
      <c r="O13" s="31">
        <f t="shared" si="0"/>
        <v>60</v>
      </c>
      <c r="P13" s="62">
        <v>36</v>
      </c>
      <c r="Q13" s="61">
        <f t="shared" si="1"/>
        <v>60</v>
      </c>
      <c r="R13" s="61" t="b">
        <f t="shared" si="2"/>
        <v>1</v>
      </c>
    </row>
    <row r="14" spans="3:18" x14ac:dyDescent="0.3">
      <c r="D14" s="22" t="s">
        <v>9</v>
      </c>
      <c r="E14" s="13">
        <v>20</v>
      </c>
      <c r="F14" s="14">
        <v>15</v>
      </c>
      <c r="G14" s="14">
        <v>5</v>
      </c>
      <c r="H14" s="14">
        <v>28</v>
      </c>
      <c r="I14" s="14">
        <v>8</v>
      </c>
      <c r="J14" s="14">
        <v>18</v>
      </c>
      <c r="K14" s="14">
        <v>30</v>
      </c>
      <c r="L14" s="14">
        <v>14</v>
      </c>
      <c r="M14" s="15">
        <v>10</v>
      </c>
      <c r="N14" s="19">
        <f>+SUM(E5:M13)</f>
        <v>416</v>
      </c>
      <c r="O14" s="19">
        <f>SUM(O5:O13)</f>
        <v>564</v>
      </c>
      <c r="R14" s="18"/>
    </row>
    <row r="15" spans="3:18" x14ac:dyDescent="0.3">
      <c r="D15" s="20" t="s">
        <v>8</v>
      </c>
      <c r="E15" s="13">
        <f t="shared" ref="E15:L15" si="4">SUM(E5:E14)</f>
        <v>71</v>
      </c>
      <c r="F15" s="14">
        <f t="shared" si="4"/>
        <v>55</v>
      </c>
      <c r="G15" s="14">
        <f t="shared" si="4"/>
        <v>47</v>
      </c>
      <c r="H15" s="14">
        <f t="shared" si="4"/>
        <v>82</v>
      </c>
      <c r="I15" s="14">
        <f t="shared" si="4"/>
        <v>50</v>
      </c>
      <c r="J15" s="14">
        <f t="shared" si="4"/>
        <v>55</v>
      </c>
      <c r="K15" s="14">
        <f t="shared" si="4"/>
        <v>79</v>
      </c>
      <c r="L15" s="14">
        <f t="shared" si="4"/>
        <v>65</v>
      </c>
      <c r="M15" s="15">
        <f>SUM(M5:M14)</f>
        <v>60</v>
      </c>
      <c r="R15" s="18"/>
    </row>
    <row r="16" spans="3:18" x14ac:dyDescent="0.3">
      <c r="E16" s="16" cm="1">
        <f t="array" ref="E16:M16">+TRANSPOSE(O5:O13)</f>
        <v>71</v>
      </c>
      <c r="F16" s="16">
        <v>55</v>
      </c>
      <c r="G16" s="16">
        <v>47</v>
      </c>
      <c r="H16" s="16">
        <v>82</v>
      </c>
      <c r="I16" s="16">
        <v>50</v>
      </c>
      <c r="J16" s="16">
        <v>55</v>
      </c>
      <c r="K16" s="16">
        <v>79</v>
      </c>
      <c r="L16" s="16">
        <v>65</v>
      </c>
      <c r="M16" s="16">
        <v>60</v>
      </c>
      <c r="R16" s="18"/>
    </row>
    <row r="17" spans="3:18" x14ac:dyDescent="0.3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3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" thickBot="1" x14ac:dyDescent="0.35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" thickBot="1" x14ac:dyDescent="0.35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3">
      <c r="C21" s="20" t="s">
        <v>1</v>
      </c>
      <c r="D21" s="28" t="s">
        <v>51</v>
      </c>
      <c r="E21" s="1">
        <f>+E5/E$15</f>
        <v>0.14084507042253522</v>
      </c>
      <c r="F21" s="2">
        <f t="shared" ref="F21:M21" si="6">+F5/F$15</f>
        <v>9.0909090909090912E-2</v>
      </c>
      <c r="G21" s="2">
        <f t="shared" si="6"/>
        <v>0.21276595744680851</v>
      </c>
      <c r="H21" s="2">
        <f t="shared" si="6"/>
        <v>1.2195121951219513E-2</v>
      </c>
      <c r="I21" s="2">
        <f t="shared" si="6"/>
        <v>0</v>
      </c>
      <c r="J21" s="2">
        <f t="shared" si="6"/>
        <v>0.14545454545454545</v>
      </c>
      <c r="K21" s="2">
        <f t="shared" si="6"/>
        <v>3.7974683544303799E-2</v>
      </c>
      <c r="L21" s="2">
        <f t="shared" si="6"/>
        <v>0.1076923076923077</v>
      </c>
      <c r="M21" s="3">
        <f t="shared" si="6"/>
        <v>3.3333333333333333E-2</v>
      </c>
    </row>
    <row r="22" spans="3:18" x14ac:dyDescent="0.3">
      <c r="C22" s="20" t="s">
        <v>1</v>
      </c>
      <c r="D22" s="25" t="s">
        <v>52</v>
      </c>
      <c r="E22" s="5">
        <f t="shared" ref="E22:M30" si="7">+E6/E$15</f>
        <v>0.11267605633802817</v>
      </c>
      <c r="F22" s="6">
        <f t="shared" si="7"/>
        <v>5.4545454545454543E-2</v>
      </c>
      <c r="G22" s="6">
        <f t="shared" si="7"/>
        <v>0.19148936170212766</v>
      </c>
      <c r="H22" s="6">
        <f t="shared" si="7"/>
        <v>4.878048780487805E-2</v>
      </c>
      <c r="I22" s="6">
        <f t="shared" si="7"/>
        <v>0.04</v>
      </c>
      <c r="J22" s="6">
        <f t="shared" si="7"/>
        <v>0.18181818181818182</v>
      </c>
      <c r="K22" s="6">
        <f t="shared" si="7"/>
        <v>1.2658227848101266E-2</v>
      </c>
      <c r="L22" s="6">
        <f t="shared" si="7"/>
        <v>6.1538461538461542E-2</v>
      </c>
      <c r="M22" s="7">
        <f t="shared" si="7"/>
        <v>0.11666666666666667</v>
      </c>
    </row>
    <row r="23" spans="3:18" x14ac:dyDescent="0.3">
      <c r="C23" s="20" t="s">
        <v>1</v>
      </c>
      <c r="D23" s="25" t="s">
        <v>53</v>
      </c>
      <c r="E23" s="5">
        <f t="shared" si="7"/>
        <v>0</v>
      </c>
      <c r="F23" s="6">
        <f t="shared" si="7"/>
        <v>0</v>
      </c>
      <c r="G23" s="6">
        <f t="shared" si="7"/>
        <v>0</v>
      </c>
      <c r="H23" s="6">
        <f t="shared" si="7"/>
        <v>8.5365853658536592E-2</v>
      </c>
      <c r="I23" s="6">
        <f t="shared" si="7"/>
        <v>0.08</v>
      </c>
      <c r="J23" s="6">
        <f t="shared" si="7"/>
        <v>7.2727272727272724E-2</v>
      </c>
      <c r="K23" s="6">
        <f t="shared" si="7"/>
        <v>8.8607594936708861E-2</v>
      </c>
      <c r="L23" s="6">
        <f t="shared" si="7"/>
        <v>6.1538461538461542E-2</v>
      </c>
      <c r="M23" s="7">
        <f t="shared" si="7"/>
        <v>0.11666666666666667</v>
      </c>
    </row>
    <row r="24" spans="3:18" x14ac:dyDescent="0.3">
      <c r="C24" s="20" t="s">
        <v>10</v>
      </c>
      <c r="D24" s="25" t="str">
        <f>+D21</f>
        <v>Agr</v>
      </c>
      <c r="E24" s="5">
        <f t="shared" si="7"/>
        <v>0.12676056338028169</v>
      </c>
      <c r="F24" s="6">
        <f t="shared" si="7"/>
        <v>9.0909090909090912E-2</v>
      </c>
      <c r="G24" s="6">
        <f t="shared" si="7"/>
        <v>8.5106382978723402E-2</v>
      </c>
      <c r="H24" s="6">
        <f t="shared" si="7"/>
        <v>8.5365853658536592E-2</v>
      </c>
      <c r="I24" s="6">
        <f t="shared" si="7"/>
        <v>0.2</v>
      </c>
      <c r="J24" s="6">
        <f t="shared" si="7"/>
        <v>0.16363636363636364</v>
      </c>
      <c r="K24" s="6">
        <f t="shared" si="7"/>
        <v>0.12658227848101267</v>
      </c>
      <c r="L24" s="6">
        <f t="shared" si="7"/>
        <v>0.13846153846153847</v>
      </c>
      <c r="M24" s="7">
        <f t="shared" si="7"/>
        <v>0.15</v>
      </c>
    </row>
    <row r="25" spans="3:18" x14ac:dyDescent="0.3">
      <c r="C25" s="20" t="s">
        <v>10</v>
      </c>
      <c r="D25" s="25" t="str">
        <f t="shared" ref="D25:D29" si="8">+D22</f>
        <v>Ind</v>
      </c>
      <c r="E25" s="5">
        <f t="shared" si="7"/>
        <v>5.6338028169014086E-2</v>
      </c>
      <c r="F25" s="6">
        <f t="shared" si="7"/>
        <v>3.6363636363636362E-2</v>
      </c>
      <c r="G25" s="6">
        <f t="shared" si="7"/>
        <v>6.3829787234042548E-2</v>
      </c>
      <c r="H25" s="6">
        <f t="shared" si="7"/>
        <v>7.3170731707317069E-2</v>
      </c>
      <c r="I25" s="6">
        <f t="shared" si="7"/>
        <v>0.14000000000000001</v>
      </c>
      <c r="J25" s="6">
        <f t="shared" si="7"/>
        <v>7.2727272727272724E-2</v>
      </c>
      <c r="K25" s="6">
        <f t="shared" si="7"/>
        <v>0.11392405063291139</v>
      </c>
      <c r="L25" s="6">
        <f t="shared" si="7"/>
        <v>3.0769230769230771E-2</v>
      </c>
      <c r="M25" s="7">
        <f t="shared" si="7"/>
        <v>0.13333333333333333</v>
      </c>
    </row>
    <row r="26" spans="3:18" x14ac:dyDescent="0.3">
      <c r="C26" s="20" t="s">
        <v>10</v>
      </c>
      <c r="D26" s="25" t="str">
        <f t="shared" si="8"/>
        <v>Serv</v>
      </c>
      <c r="E26" s="5">
        <f t="shared" si="7"/>
        <v>8.4507042253521125E-2</v>
      </c>
      <c r="F26" s="6">
        <f t="shared" si="7"/>
        <v>9.0909090909090912E-2</v>
      </c>
      <c r="G26" s="6">
        <f t="shared" si="7"/>
        <v>8.5106382978723402E-2</v>
      </c>
      <c r="H26" s="6">
        <f t="shared" si="7"/>
        <v>1.2195121951219513E-2</v>
      </c>
      <c r="I26" s="6">
        <f t="shared" si="7"/>
        <v>0.18</v>
      </c>
      <c r="J26" s="6">
        <f t="shared" si="7"/>
        <v>3.6363636363636362E-2</v>
      </c>
      <c r="K26" s="6">
        <f t="shared" si="7"/>
        <v>1.2658227848101266E-2</v>
      </c>
      <c r="L26" s="6">
        <f t="shared" si="7"/>
        <v>9.2307692307692313E-2</v>
      </c>
      <c r="M26" s="7">
        <f t="shared" si="7"/>
        <v>1.6666666666666666E-2</v>
      </c>
    </row>
    <row r="27" spans="3:18" x14ac:dyDescent="0.3">
      <c r="C27" s="20" t="s">
        <v>11</v>
      </c>
      <c r="D27" s="25" t="str">
        <f t="shared" si="8"/>
        <v>Agr</v>
      </c>
      <c r="E27" s="5">
        <f t="shared" si="7"/>
        <v>4.2253521126760563E-2</v>
      </c>
      <c r="F27" s="6">
        <f t="shared" si="7"/>
        <v>0.18181818181818182</v>
      </c>
      <c r="G27" s="6">
        <f t="shared" si="7"/>
        <v>0.1702127659574468</v>
      </c>
      <c r="H27" s="6">
        <f t="shared" si="7"/>
        <v>0.10975609756097561</v>
      </c>
      <c r="I27" s="6">
        <f t="shared" si="7"/>
        <v>0.2</v>
      </c>
      <c r="J27" s="6">
        <f t="shared" si="7"/>
        <v>0</v>
      </c>
      <c r="K27" s="6">
        <f t="shared" si="7"/>
        <v>8.8607594936708861E-2</v>
      </c>
      <c r="L27" s="6">
        <f t="shared" si="7"/>
        <v>0.13846153846153847</v>
      </c>
      <c r="M27" s="7">
        <f t="shared" si="7"/>
        <v>0.13333333333333333</v>
      </c>
    </row>
    <row r="28" spans="3:18" x14ac:dyDescent="0.3">
      <c r="C28" s="20" t="s">
        <v>11</v>
      </c>
      <c r="D28" s="25" t="str">
        <f t="shared" si="8"/>
        <v>Ind</v>
      </c>
      <c r="E28" s="5">
        <f t="shared" si="7"/>
        <v>1.4084507042253521E-2</v>
      </c>
      <c r="F28" s="6">
        <f t="shared" si="7"/>
        <v>0.14545454545454545</v>
      </c>
      <c r="G28" s="6">
        <f t="shared" si="7"/>
        <v>0</v>
      </c>
      <c r="H28" s="6">
        <f t="shared" si="7"/>
        <v>0.10975609756097561</v>
      </c>
      <c r="I28" s="6">
        <f t="shared" si="7"/>
        <v>0</v>
      </c>
      <c r="J28" s="6">
        <f t="shared" si="7"/>
        <v>0</v>
      </c>
      <c r="K28" s="6">
        <f t="shared" si="7"/>
        <v>0.10126582278481013</v>
      </c>
      <c r="L28" s="6">
        <f t="shared" si="7"/>
        <v>0.15384615384615385</v>
      </c>
      <c r="M28" s="7">
        <f t="shared" si="7"/>
        <v>1.6666666666666666E-2</v>
      </c>
    </row>
    <row r="29" spans="3:18" x14ac:dyDescent="0.3">
      <c r="C29" s="20" t="s">
        <v>11</v>
      </c>
      <c r="D29" s="25" t="str">
        <f t="shared" si="8"/>
        <v>Serv</v>
      </c>
      <c r="E29" s="9">
        <f t="shared" si="7"/>
        <v>0.14084507042253522</v>
      </c>
      <c r="F29" s="10">
        <f t="shared" si="7"/>
        <v>3.6363636363636362E-2</v>
      </c>
      <c r="G29" s="10">
        <f t="shared" si="7"/>
        <v>8.5106382978723402E-2</v>
      </c>
      <c r="H29" s="10">
        <f t="shared" si="7"/>
        <v>0.12195121951219512</v>
      </c>
      <c r="I29" s="10">
        <f t="shared" si="7"/>
        <v>0</v>
      </c>
      <c r="J29" s="10">
        <f t="shared" si="7"/>
        <v>0</v>
      </c>
      <c r="K29" s="10">
        <f t="shared" si="7"/>
        <v>3.7974683544303799E-2</v>
      </c>
      <c r="L29" s="10">
        <f t="shared" si="7"/>
        <v>0</v>
      </c>
      <c r="M29" s="11">
        <f t="shared" si="7"/>
        <v>0.11666666666666667</v>
      </c>
    </row>
    <row r="30" spans="3:18" x14ac:dyDescent="0.3">
      <c r="D30" s="22" t="s">
        <v>9</v>
      </c>
      <c r="E30" s="13">
        <f t="shared" si="7"/>
        <v>0.28169014084507044</v>
      </c>
      <c r="F30" s="14">
        <f t="shared" si="7"/>
        <v>0.27272727272727271</v>
      </c>
      <c r="G30" s="14">
        <f t="shared" si="7"/>
        <v>0.10638297872340426</v>
      </c>
      <c r="H30" s="14">
        <f t="shared" si="7"/>
        <v>0.34146341463414637</v>
      </c>
      <c r="I30" s="14">
        <f t="shared" si="7"/>
        <v>0.16</v>
      </c>
      <c r="J30" s="14">
        <f t="shared" si="7"/>
        <v>0.32727272727272727</v>
      </c>
      <c r="K30" s="14">
        <f t="shared" si="7"/>
        <v>0.379746835443038</v>
      </c>
      <c r="L30" s="14">
        <f t="shared" si="7"/>
        <v>0.2153846153846154</v>
      </c>
      <c r="M30" s="15">
        <f t="shared" si="7"/>
        <v>0.16666666666666666</v>
      </c>
    </row>
    <row r="31" spans="3:18" x14ac:dyDescent="0.3">
      <c r="D31" s="20" t="s">
        <v>8</v>
      </c>
      <c r="E31" s="13">
        <f t="shared" ref="E31:M31" si="9">SUM(E21:E30)</f>
        <v>1</v>
      </c>
      <c r="F31" s="14">
        <f t="shared" si="9"/>
        <v>1</v>
      </c>
      <c r="G31" s="14">
        <f t="shared" si="9"/>
        <v>1</v>
      </c>
      <c r="H31" s="14">
        <f t="shared" si="9"/>
        <v>1</v>
      </c>
      <c r="I31" s="14">
        <f t="shared" si="9"/>
        <v>1</v>
      </c>
      <c r="J31" s="14">
        <f t="shared" si="9"/>
        <v>1</v>
      </c>
      <c r="K31" s="14">
        <f t="shared" si="9"/>
        <v>1</v>
      </c>
      <c r="L31" s="14">
        <f t="shared" si="9"/>
        <v>1</v>
      </c>
      <c r="M31" s="15">
        <f t="shared" si="9"/>
        <v>1</v>
      </c>
    </row>
    <row r="34" spans="2:18" ht="15" thickBot="1" x14ac:dyDescent="0.35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2:18" ht="15" thickBot="1" x14ac:dyDescent="0.35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2:18" x14ac:dyDescent="0.3">
      <c r="C36" s="20" t="s">
        <v>1</v>
      </c>
      <c r="D36" s="28" t="s">
        <v>51</v>
      </c>
      <c r="E36" s="1" cm="1">
        <f t="array" ref="E36:M44">+MINVERSE(_xlfn.MUNIT(COUNTA($D$36:$D$44))-E21:M29)</f>
        <v>1.3396897673098553</v>
      </c>
      <c r="F36" s="2">
        <v>0.29313766151442472</v>
      </c>
      <c r="G36" s="2">
        <v>0.46062080591971027</v>
      </c>
      <c r="H36" s="2">
        <v>0.20047114765858043</v>
      </c>
      <c r="I36" s="2">
        <v>0.22471967444765886</v>
      </c>
      <c r="J36" s="2">
        <v>0.34329239630226011</v>
      </c>
      <c r="K36" s="2">
        <v>0.21398444112354956</v>
      </c>
      <c r="L36" s="2">
        <v>0.33876647757551959</v>
      </c>
      <c r="M36" s="3">
        <v>0.26323813083081754</v>
      </c>
      <c r="N36" s="16" cm="1">
        <f t="array" ref="N36:N44">+MMULT(_xlfn.ANCHORARRAY(E36),N5:N13)</f>
        <v>71</v>
      </c>
    </row>
    <row r="37" spans="2:18" x14ac:dyDescent="0.3">
      <c r="C37" s="20" t="s">
        <v>1</v>
      </c>
      <c r="D37" s="25" t="s">
        <v>52</v>
      </c>
      <c r="E37" s="5">
        <v>0.33305376452405477</v>
      </c>
      <c r="F37" s="6">
        <v>1.2588962622476694</v>
      </c>
      <c r="G37" s="6">
        <v>0.44906571639362902</v>
      </c>
      <c r="H37" s="6">
        <v>0.24914151781031268</v>
      </c>
      <c r="I37" s="6">
        <v>0.2850825641197372</v>
      </c>
      <c r="J37" s="6">
        <v>0.38551433058519635</v>
      </c>
      <c r="K37" s="6">
        <v>0.19834507137089469</v>
      </c>
      <c r="L37" s="6">
        <v>0.29225190328391093</v>
      </c>
      <c r="M37" s="7">
        <v>0.36621325203064486</v>
      </c>
      <c r="N37" s="16">
        <v>55.000000000000007</v>
      </c>
    </row>
    <row r="38" spans="2:18" x14ac:dyDescent="0.3">
      <c r="C38" s="20" t="s">
        <v>1</v>
      </c>
      <c r="D38" s="25" t="s">
        <v>53</v>
      </c>
      <c r="E38" s="5">
        <v>0.16096426404995831</v>
      </c>
      <c r="F38" s="6">
        <v>0.16098912768389811</v>
      </c>
      <c r="G38" s="6">
        <v>1.1866305477256527</v>
      </c>
      <c r="H38" s="6">
        <v>0.24266960433010817</v>
      </c>
      <c r="I38" s="6">
        <v>0.27162888961053594</v>
      </c>
      <c r="J38" s="6">
        <v>0.20593716184064856</v>
      </c>
      <c r="K38" s="6">
        <v>0.23314113071157197</v>
      </c>
      <c r="L38" s="6">
        <v>0.22869828937505449</v>
      </c>
      <c r="M38" s="7">
        <v>0.3096620435609494</v>
      </c>
      <c r="N38" s="16">
        <v>47.000000000000014</v>
      </c>
    </row>
    <row r="39" spans="2:18" x14ac:dyDescent="0.3">
      <c r="C39" s="20" t="s">
        <v>10</v>
      </c>
      <c r="D39" s="25" t="str">
        <f>+D36</f>
        <v>Agr</v>
      </c>
      <c r="E39" s="5">
        <v>0.46948940027866004</v>
      </c>
      <c r="F39" s="6">
        <v>0.42979983594636084</v>
      </c>
      <c r="G39" s="6">
        <v>0.50026321949972674</v>
      </c>
      <c r="H39" s="6">
        <v>1.4082652483739835</v>
      </c>
      <c r="I39" s="6">
        <v>0.59296552145230841</v>
      </c>
      <c r="J39" s="6">
        <v>0.47360784454465799</v>
      </c>
      <c r="K39" s="6">
        <v>0.42917417879158681</v>
      </c>
      <c r="L39" s="6">
        <v>0.50129474506177585</v>
      </c>
      <c r="M39" s="7">
        <v>0.55237410595478087</v>
      </c>
      <c r="N39" s="16">
        <v>82</v>
      </c>
    </row>
    <row r="40" spans="2:18" x14ac:dyDescent="0.3">
      <c r="C40" s="20" t="s">
        <v>10</v>
      </c>
      <c r="D40" s="25" t="str">
        <f t="shared" ref="D40:D44" si="10">+D37</f>
        <v>Ind</v>
      </c>
      <c r="E40" s="5">
        <v>0.27827723239842433</v>
      </c>
      <c r="F40" s="6">
        <v>0.24820393574606325</v>
      </c>
      <c r="G40" s="6">
        <v>0.33029476378346578</v>
      </c>
      <c r="H40" s="6">
        <v>0.28495600131722088</v>
      </c>
      <c r="I40" s="6">
        <v>1.3995953346694374</v>
      </c>
      <c r="J40" s="6">
        <v>0.26778154004367211</v>
      </c>
      <c r="K40" s="6">
        <v>0.31054185905945586</v>
      </c>
      <c r="L40" s="6">
        <v>0.25504174687087422</v>
      </c>
      <c r="M40" s="7">
        <v>0.40329377754913653</v>
      </c>
      <c r="N40" s="16">
        <v>50</v>
      </c>
    </row>
    <row r="41" spans="2:18" x14ac:dyDescent="0.3">
      <c r="C41" s="20" t="s">
        <v>10</v>
      </c>
      <c r="D41" s="25" t="str">
        <f t="shared" si="10"/>
        <v>Serv</v>
      </c>
      <c r="E41" s="5">
        <v>0.24935170583985158</v>
      </c>
      <c r="F41" s="6">
        <v>0.25257975039975866</v>
      </c>
      <c r="G41" s="6">
        <v>0.28900630839132929</v>
      </c>
      <c r="H41" s="6">
        <v>0.17116188311097175</v>
      </c>
      <c r="I41" s="6">
        <v>0.36899674724360437</v>
      </c>
      <c r="J41" s="6">
        <v>1.201756232476507</v>
      </c>
      <c r="K41" s="6">
        <v>0.16782504737118717</v>
      </c>
      <c r="L41" s="6">
        <v>0.27111308072234536</v>
      </c>
      <c r="M41" s="7">
        <v>0.21882464983647648</v>
      </c>
      <c r="N41" s="16">
        <v>55</v>
      </c>
    </row>
    <row r="42" spans="2:18" x14ac:dyDescent="0.3">
      <c r="C42" s="20" t="s">
        <v>11</v>
      </c>
      <c r="D42" s="25" t="str">
        <f t="shared" si="10"/>
        <v>Agr</v>
      </c>
      <c r="E42" s="5">
        <v>0.35214837075990457</v>
      </c>
      <c r="F42" s="6">
        <v>0.48083150088067539</v>
      </c>
      <c r="G42" s="6">
        <v>0.54248305189281365</v>
      </c>
      <c r="H42" s="6">
        <v>0.42036737225086895</v>
      </c>
      <c r="I42" s="6">
        <v>0.55309703312036218</v>
      </c>
      <c r="J42" s="6">
        <v>0.29794582387163238</v>
      </c>
      <c r="K42" s="6">
        <v>1.376639107748959</v>
      </c>
      <c r="L42" s="6">
        <v>0.46591316610695016</v>
      </c>
      <c r="M42" s="7">
        <v>0.52551986939858886</v>
      </c>
      <c r="N42" s="16">
        <v>79.000000000000014</v>
      </c>
    </row>
    <row r="43" spans="2:18" x14ac:dyDescent="0.3">
      <c r="C43" s="20" t="s">
        <v>11</v>
      </c>
      <c r="D43" s="25" t="str">
        <f t="shared" si="10"/>
        <v>Ind</v>
      </c>
      <c r="E43" s="5">
        <v>0.18895230008671562</v>
      </c>
      <c r="F43" s="6">
        <v>0.33840247482967128</v>
      </c>
      <c r="G43" s="6">
        <v>0.22055756496026482</v>
      </c>
      <c r="H43" s="6">
        <v>0.28461936418358202</v>
      </c>
      <c r="I43" s="6">
        <v>0.19938770529705943</v>
      </c>
      <c r="J43" s="6">
        <v>0.17239619825796176</v>
      </c>
      <c r="K43" s="6">
        <v>0.26168766921156789</v>
      </c>
      <c r="L43" s="6">
        <v>1.3619713120084544</v>
      </c>
      <c r="M43" s="7">
        <v>0.22783338986208793</v>
      </c>
      <c r="N43" s="16">
        <v>65</v>
      </c>
    </row>
    <row r="44" spans="2:18" x14ac:dyDescent="0.3">
      <c r="C44" s="20" t="s">
        <v>11</v>
      </c>
      <c r="D44" s="25" t="str">
        <f t="shared" si="10"/>
        <v>Serv</v>
      </c>
      <c r="E44" s="9">
        <v>0.32278455821683549</v>
      </c>
      <c r="F44" s="10">
        <v>0.19408333704833722</v>
      </c>
      <c r="G44" s="10">
        <v>0.29864603550568125</v>
      </c>
      <c r="H44" s="10">
        <v>0.27809522164442302</v>
      </c>
      <c r="I44" s="10">
        <v>0.17937871997805888</v>
      </c>
      <c r="J44" s="10">
        <v>0.16864275194250614</v>
      </c>
      <c r="K44" s="10">
        <v>0.1831797159010346</v>
      </c>
      <c r="L44" s="10">
        <v>0.17731814158643994</v>
      </c>
      <c r="M44" s="11">
        <v>1.3178105679183645</v>
      </c>
      <c r="N44" s="16">
        <v>60.000000000000021</v>
      </c>
    </row>
    <row r="45" spans="2:18" ht="15" thickBot="1" x14ac:dyDescent="0.35"/>
    <row r="46" spans="2:18" ht="15" thickBot="1" x14ac:dyDescent="0.35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2:18" x14ac:dyDescent="0.3">
      <c r="B47" s="18"/>
      <c r="C47" s="22" t="s">
        <v>1</v>
      </c>
      <c r="D47" s="28" t="s">
        <v>51</v>
      </c>
      <c r="E47" s="140">
        <f>+IO_sub_model!E47+IO_sub_model!B188+'IO_sub_model - t+1'!B188+'IO_sub_model - t+2'!B188</f>
        <v>0</v>
      </c>
      <c r="F47" s="35">
        <f>1-E47</f>
        <v>1</v>
      </c>
      <c r="G47" s="1" cm="1">
        <f t="array" ref="G47:G55">+N5:N13</f>
        <v>25</v>
      </c>
      <c r="H47" s="3">
        <f>+G47*F47</f>
        <v>25</v>
      </c>
      <c r="I47" s="18"/>
      <c r="J47" s="22" t="s">
        <v>1</v>
      </c>
      <c r="K47" s="28" t="s">
        <v>51</v>
      </c>
      <c r="L47" s="140">
        <f>+IO_sub_model!L47</f>
        <v>0.2</v>
      </c>
      <c r="M47" s="35">
        <f>1-L47</f>
        <v>0.8</v>
      </c>
      <c r="N47" s="1" cm="1">
        <f t="array" ref="N47:N55">+O5:O13</f>
        <v>71</v>
      </c>
      <c r="O47" s="3">
        <f>+N47*M47</f>
        <v>56.800000000000004</v>
      </c>
      <c r="P47" s="18"/>
      <c r="Q47" s="18"/>
      <c r="R47" s="18"/>
    </row>
    <row r="48" spans="2:18" x14ac:dyDescent="0.3">
      <c r="B48" s="18"/>
      <c r="C48" s="20" t="s">
        <v>1</v>
      </c>
      <c r="D48" s="25" t="s">
        <v>52</v>
      </c>
      <c r="E48" s="140">
        <f>+IO_sub_model!E48+IO_sub_model!B189+'IO_sub_model - t+1'!B189+'IO_sub_model - t+2'!B189</f>
        <v>0.39717425431711323</v>
      </c>
      <c r="F48" s="36">
        <f t="shared" ref="F48:F55" si="11">1-E48</f>
        <v>0.60282574568288672</v>
      </c>
      <c r="G48" s="5">
        <v>7</v>
      </c>
      <c r="H48" s="7">
        <f t="shared" ref="H48:H55" si="12">+G48*F48</f>
        <v>4.2197802197802066</v>
      </c>
      <c r="I48" s="18"/>
      <c r="J48" s="20" t="s">
        <v>1</v>
      </c>
      <c r="K48" s="25" t="s">
        <v>52</v>
      </c>
      <c r="L48" s="141">
        <f>+IO_sub_model!L48</f>
        <v>0</v>
      </c>
      <c r="M48" s="36">
        <f t="shared" ref="M48:M55" si="13">1-L48</f>
        <v>1</v>
      </c>
      <c r="N48" s="5">
        <v>55</v>
      </c>
      <c r="O48" s="7">
        <f t="shared" ref="O48:O55" si="14">+N48*M48</f>
        <v>55</v>
      </c>
      <c r="P48" s="18"/>
    </row>
    <row r="49" spans="1:16" x14ac:dyDescent="0.3">
      <c r="B49" s="18"/>
      <c r="C49" s="20" t="s">
        <v>1</v>
      </c>
      <c r="D49" s="25" t="s">
        <v>53</v>
      </c>
      <c r="E49" s="140">
        <f>+IO_sub_model!E49+IO_sub_model!B190+'IO_sub_model - t+1'!B190+'IO_sub_model - t+2'!B190</f>
        <v>0.17522335264136457</v>
      </c>
      <c r="F49" s="36">
        <f t="shared" si="11"/>
        <v>0.82477664735863543</v>
      </c>
      <c r="G49" s="5">
        <v>14</v>
      </c>
      <c r="H49" s="7">
        <f t="shared" si="12"/>
        <v>11.546873063020897</v>
      </c>
      <c r="I49" s="18"/>
      <c r="J49" s="20" t="s">
        <v>1</v>
      </c>
      <c r="K49" s="25" t="s">
        <v>53</v>
      </c>
      <c r="L49" s="141">
        <f>+IO_sub_model!L49</f>
        <v>0</v>
      </c>
      <c r="M49" s="36">
        <f t="shared" si="13"/>
        <v>1</v>
      </c>
      <c r="N49" s="5">
        <v>47</v>
      </c>
      <c r="O49" s="7">
        <f t="shared" si="14"/>
        <v>47</v>
      </c>
      <c r="P49" s="18"/>
    </row>
    <row r="50" spans="1:16" x14ac:dyDescent="0.3">
      <c r="B50" s="18"/>
      <c r="C50" s="20" t="s">
        <v>10</v>
      </c>
      <c r="D50" s="25" t="str">
        <f>+D47</f>
        <v>Agr</v>
      </c>
      <c r="E50" s="140">
        <f>+IO_sub_model!E50+IO_sub_model!B191+'IO_sub_model - t+1'!B191+'IO_sub_model - t+2'!B191</f>
        <v>0.80832369265451465</v>
      </c>
      <c r="F50" s="36">
        <f t="shared" si="11"/>
        <v>0.19167630734548535</v>
      </c>
      <c r="G50" s="5">
        <v>10</v>
      </c>
      <c r="H50" s="7">
        <f t="shared" si="12"/>
        <v>1.9167630734548535</v>
      </c>
      <c r="I50" s="18"/>
      <c r="J50" s="20" t="s">
        <v>10</v>
      </c>
      <c r="K50" s="25" t="str">
        <f>+K47</f>
        <v>Agr</v>
      </c>
      <c r="L50" s="141">
        <f>+IO_sub_model!L50</f>
        <v>0</v>
      </c>
      <c r="M50" s="36">
        <f t="shared" si="13"/>
        <v>1</v>
      </c>
      <c r="N50" s="5">
        <v>82</v>
      </c>
      <c r="O50" s="7">
        <f t="shared" si="14"/>
        <v>82</v>
      </c>
      <c r="P50" s="18"/>
    </row>
    <row r="51" spans="1:16" x14ac:dyDescent="0.3">
      <c r="B51" s="18"/>
      <c r="C51" s="20" t="s">
        <v>10</v>
      </c>
      <c r="D51" s="25" t="str">
        <f t="shared" ref="D51:D55" si="15">+D48</f>
        <v>Ind</v>
      </c>
      <c r="E51" s="140">
        <f>+IO_sub_model!E51+IO_sub_model!B192+'IO_sub_model - t+1'!B192+'IO_sub_model - t+2'!B192</f>
        <v>0.51214782487511112</v>
      </c>
      <c r="F51" s="36">
        <f t="shared" si="11"/>
        <v>0.48785217512488888</v>
      </c>
      <c r="G51" s="5">
        <v>5</v>
      </c>
      <c r="H51" s="7">
        <f t="shared" si="12"/>
        <v>2.4392608756244445</v>
      </c>
      <c r="I51" s="18"/>
      <c r="J51" s="20" t="s">
        <v>10</v>
      </c>
      <c r="K51" s="25" t="str">
        <f t="shared" ref="K51:K55" si="16">+K48</f>
        <v>Ind</v>
      </c>
      <c r="L51" s="141">
        <f>+IO_sub_model!L51</f>
        <v>0</v>
      </c>
      <c r="M51" s="36">
        <f t="shared" si="13"/>
        <v>1</v>
      </c>
      <c r="N51" s="5">
        <v>50</v>
      </c>
      <c r="O51" s="7">
        <f t="shared" si="14"/>
        <v>50</v>
      </c>
      <c r="P51" s="18"/>
    </row>
    <row r="52" spans="1:16" x14ac:dyDescent="0.3">
      <c r="B52" s="18"/>
      <c r="C52" s="20" t="s">
        <v>10</v>
      </c>
      <c r="D52" s="25" t="str">
        <f t="shared" si="15"/>
        <v>Serv</v>
      </c>
      <c r="E52" s="140">
        <f>+IO_sub_model!E52+IO_sub_model!B193+'IO_sub_model - t+1'!B193+'IO_sub_model - t+2'!B193</f>
        <v>0.13901098901098941</v>
      </c>
      <c r="F52" s="36">
        <f t="shared" si="11"/>
        <v>0.86098901098901059</v>
      </c>
      <c r="G52" s="5">
        <v>20</v>
      </c>
      <c r="H52" s="7">
        <f t="shared" si="12"/>
        <v>17.219780219780212</v>
      </c>
      <c r="I52" s="18"/>
      <c r="J52" s="20" t="s">
        <v>10</v>
      </c>
      <c r="K52" s="25" t="str">
        <f t="shared" si="16"/>
        <v>Serv</v>
      </c>
      <c r="L52" s="141">
        <f>+IO_sub_model!L52</f>
        <v>0</v>
      </c>
      <c r="M52" s="36">
        <f t="shared" si="13"/>
        <v>1</v>
      </c>
      <c r="N52" s="5">
        <v>55</v>
      </c>
      <c r="O52" s="7">
        <f t="shared" si="14"/>
        <v>55</v>
      </c>
      <c r="P52" s="18"/>
    </row>
    <row r="53" spans="1:16" x14ac:dyDescent="0.3">
      <c r="B53" s="18"/>
      <c r="C53" s="20" t="s">
        <v>11</v>
      </c>
      <c r="D53" s="25" t="str">
        <f t="shared" si="15"/>
        <v>Agr</v>
      </c>
      <c r="E53" s="140">
        <f>+IO_sub_model!E53+IO_sub_model!B194+'IO_sub_model - t+1'!B194+'IO_sub_model - t+2'!B194</f>
        <v>0.44075911589522843</v>
      </c>
      <c r="F53" s="36">
        <f t="shared" si="11"/>
        <v>0.55924088410477157</v>
      </c>
      <c r="G53" s="5">
        <v>15</v>
      </c>
      <c r="H53" s="7">
        <f t="shared" si="12"/>
        <v>8.3886132615715745</v>
      </c>
      <c r="I53" s="18"/>
      <c r="J53" s="20" t="s">
        <v>11</v>
      </c>
      <c r="K53" s="25" t="str">
        <f t="shared" si="16"/>
        <v>Agr</v>
      </c>
      <c r="L53" s="141">
        <f>+IO_sub_model!L53</f>
        <v>0</v>
      </c>
      <c r="M53" s="36">
        <f t="shared" si="13"/>
        <v>1</v>
      </c>
      <c r="N53" s="5">
        <v>79</v>
      </c>
      <c r="O53" s="7">
        <f t="shared" si="14"/>
        <v>79</v>
      </c>
      <c r="P53" s="18"/>
    </row>
    <row r="54" spans="1:16" x14ac:dyDescent="0.3">
      <c r="B54" s="18"/>
      <c r="C54" s="20" t="s">
        <v>11</v>
      </c>
      <c r="D54" s="25" t="str">
        <f t="shared" si="15"/>
        <v>Ind</v>
      </c>
      <c r="E54" s="140">
        <f>+IO_sub_model!E54+IO_sub_model!B195+'IO_sub_model - t+1'!B195+'IO_sub_model - t+2'!B195</f>
        <v>0.11877431139289232</v>
      </c>
      <c r="F54" s="36">
        <f t="shared" si="11"/>
        <v>0.8812256886071077</v>
      </c>
      <c r="G54" s="5">
        <v>28</v>
      </c>
      <c r="H54" s="7">
        <f t="shared" si="12"/>
        <v>24.674319280999015</v>
      </c>
      <c r="I54" s="18"/>
      <c r="J54" s="20" t="s">
        <v>11</v>
      </c>
      <c r="K54" s="25" t="str">
        <f t="shared" si="16"/>
        <v>Ind</v>
      </c>
      <c r="L54" s="141">
        <f>+IO_sub_model!L54</f>
        <v>0</v>
      </c>
      <c r="M54" s="36">
        <f t="shared" si="13"/>
        <v>1</v>
      </c>
      <c r="N54" s="5">
        <v>65</v>
      </c>
      <c r="O54" s="7">
        <f t="shared" si="14"/>
        <v>65</v>
      </c>
      <c r="P54" s="18"/>
    </row>
    <row r="55" spans="1:16" x14ac:dyDescent="0.3">
      <c r="B55" s="18"/>
      <c r="C55" s="20" t="s">
        <v>11</v>
      </c>
      <c r="D55" s="25" t="str">
        <f t="shared" si="15"/>
        <v>Serv</v>
      </c>
      <c r="E55" s="140">
        <f>+IO_sub_model!E55+IO_sub_model!B196+'IO_sub_model - t+1'!B196+'IO_sub_model - t+2'!B196</f>
        <v>0.12637362637362562</v>
      </c>
      <c r="F55" s="37">
        <f t="shared" si="11"/>
        <v>0.87362637362637441</v>
      </c>
      <c r="G55" s="9">
        <v>24</v>
      </c>
      <c r="H55" s="11">
        <f t="shared" si="12"/>
        <v>20.967032967032985</v>
      </c>
      <c r="I55" s="18"/>
      <c r="J55" s="20" t="s">
        <v>11</v>
      </c>
      <c r="K55" s="25" t="str">
        <f t="shared" si="16"/>
        <v>Serv</v>
      </c>
      <c r="L55" s="142">
        <f>+IO_sub_model!L55</f>
        <v>0</v>
      </c>
      <c r="M55" s="37">
        <f t="shared" si="13"/>
        <v>1</v>
      </c>
      <c r="N55" s="9">
        <v>60</v>
      </c>
      <c r="O55" s="11">
        <f t="shared" si="14"/>
        <v>60</v>
      </c>
      <c r="P55" s="18"/>
    </row>
    <row r="56" spans="1:16" x14ac:dyDescent="0.3">
      <c r="G56" s="13">
        <f t="shared" ref="G56:H56" si="17">SUM(G47:G55)</f>
        <v>148</v>
      </c>
      <c r="H56" s="15">
        <f t="shared" si="17"/>
        <v>116.37242296126419</v>
      </c>
      <c r="N56" s="13">
        <f t="shared" ref="N56:O56" si="18">SUM(N47:N55)</f>
        <v>564</v>
      </c>
      <c r="O56" s="15">
        <f t="shared" si="18"/>
        <v>549.79999999999995</v>
      </c>
    </row>
    <row r="57" spans="1:16" x14ac:dyDescent="0.3">
      <c r="H57" s="18">
        <f>+H56-G56</f>
        <v>-31.627577038735808</v>
      </c>
      <c r="O57" s="18">
        <f>+O56-N56</f>
        <v>-14.200000000000045</v>
      </c>
    </row>
    <row r="58" spans="1:16" x14ac:dyDescent="0.3">
      <c r="A58" s="66"/>
    </row>
    <row r="59" spans="1:16" x14ac:dyDescent="0.3">
      <c r="A59" s="68" t="s">
        <v>30</v>
      </c>
      <c r="E59" s="20" t="s">
        <v>20</v>
      </c>
      <c r="F59" s="20" t="str" cm="1">
        <f t="array" ref="F59:F68">+O46:O55</f>
        <v>x_max</v>
      </c>
      <c r="G59" s="20" t="s">
        <v>3</v>
      </c>
    </row>
    <row r="60" spans="1:16" x14ac:dyDescent="0.3">
      <c r="A60" s="67"/>
      <c r="C60" s="20" t="s">
        <v>1</v>
      </c>
      <c r="D60" s="28" t="s">
        <v>51</v>
      </c>
      <c r="E60" s="4" cm="1">
        <f t="array" ref="E60:E68">+MMULT(_xlfn.ANCHORARRAY(E36),H47:H55)</f>
        <v>62.564963400340424</v>
      </c>
      <c r="F60" s="4">
        <v>56.800000000000004</v>
      </c>
      <c r="G60" s="40">
        <f>+MIN(F60/E60,1)</f>
        <v>0.90785636102027911</v>
      </c>
      <c r="H60" s="18"/>
      <c r="I60" s="18"/>
    </row>
    <row r="61" spans="1:16" x14ac:dyDescent="0.3">
      <c r="C61" s="20" t="s">
        <v>1</v>
      </c>
      <c r="D61" s="25" t="s">
        <v>52</v>
      </c>
      <c r="E61" s="8">
        <v>43.188684730544139</v>
      </c>
      <c r="F61" s="8">
        <v>55</v>
      </c>
      <c r="G61" s="41">
        <f t="shared" ref="G61:G68" si="19">+MIN(F61/E61,1)</f>
        <v>1</v>
      </c>
      <c r="H61" s="18"/>
      <c r="I61" s="18"/>
    </row>
    <row r="62" spans="1:16" x14ac:dyDescent="0.3">
      <c r="C62" s="20" t="s">
        <v>1</v>
      </c>
      <c r="D62" s="25" t="s">
        <v>53</v>
      </c>
      <c r="E62" s="8">
        <v>37.170623838812148</v>
      </c>
      <c r="F62" s="8">
        <v>47</v>
      </c>
      <c r="G62" s="41">
        <f t="shared" si="19"/>
        <v>1</v>
      </c>
      <c r="H62" s="18"/>
      <c r="I62" s="18"/>
    </row>
    <row r="63" spans="1:16" x14ac:dyDescent="0.3">
      <c r="C63" s="20" t="s">
        <v>10</v>
      </c>
      <c r="D63" s="25" t="str">
        <f>+D60</f>
        <v>Agr</v>
      </c>
      <c r="E63" s="8">
        <v>59.179432053993636</v>
      </c>
      <c r="F63" s="8">
        <v>82</v>
      </c>
      <c r="G63" s="41">
        <f t="shared" si="19"/>
        <v>1</v>
      </c>
      <c r="H63" s="18"/>
      <c r="I63" s="18"/>
    </row>
    <row r="64" spans="1:16" x14ac:dyDescent="0.3">
      <c r="C64" s="20" t="s">
        <v>10</v>
      </c>
      <c r="D64" s="25" t="str">
        <f t="shared" ref="D64:D68" si="20">+D61</f>
        <v>Ind</v>
      </c>
      <c r="E64" s="8">
        <v>37.743350106924701</v>
      </c>
      <c r="F64" s="8">
        <v>50</v>
      </c>
      <c r="G64" s="41">
        <f t="shared" si="19"/>
        <v>1</v>
      </c>
      <c r="H64" s="18"/>
      <c r="I64" s="18"/>
    </row>
    <row r="65" spans="1:22" x14ac:dyDescent="0.3">
      <c r="C65" s="20" t="s">
        <v>10</v>
      </c>
      <c r="D65" s="25" t="str">
        <f t="shared" si="20"/>
        <v>Serv</v>
      </c>
      <c r="E65" s="8">
        <v>45.24433092508891</v>
      </c>
      <c r="F65" s="8">
        <v>55</v>
      </c>
      <c r="G65" s="41">
        <f t="shared" si="19"/>
        <v>1</v>
      </c>
      <c r="H65" s="18"/>
      <c r="I65" s="18"/>
    </row>
    <row r="66" spans="1:22" x14ac:dyDescent="0.3">
      <c r="C66" s="20" t="s">
        <v>11</v>
      </c>
      <c r="D66" s="25" t="str">
        <f t="shared" si="20"/>
        <v>Agr</v>
      </c>
      <c r="E66" s="8">
        <v>58.444925398624719</v>
      </c>
      <c r="F66" s="8">
        <v>79</v>
      </c>
      <c r="G66" s="41">
        <f t="shared" si="19"/>
        <v>1</v>
      </c>
      <c r="H66" s="18"/>
      <c r="I66" s="18"/>
    </row>
    <row r="67" spans="1:22" x14ac:dyDescent="0.3">
      <c r="C67" s="20" t="s">
        <v>11</v>
      </c>
      <c r="D67" s="25" t="str">
        <f t="shared" si="20"/>
        <v>Ind</v>
      </c>
      <c r="E67" s="8">
        <v>53.2769747906856</v>
      </c>
      <c r="F67" s="8">
        <v>65</v>
      </c>
      <c r="G67" s="41">
        <f t="shared" si="19"/>
        <v>1</v>
      </c>
      <c r="H67" s="18"/>
      <c r="I67" s="18"/>
    </row>
    <row r="68" spans="1:22" x14ac:dyDescent="0.3">
      <c r="C68" s="20" t="s">
        <v>11</v>
      </c>
      <c r="D68" s="25" t="str">
        <f t="shared" si="20"/>
        <v>Serv</v>
      </c>
      <c r="E68" s="12">
        <v>49.754021969992493</v>
      </c>
      <c r="F68" s="12">
        <v>60</v>
      </c>
      <c r="G68" s="42">
        <f t="shared" si="19"/>
        <v>1</v>
      </c>
      <c r="H68" s="18"/>
      <c r="I68" s="18"/>
    </row>
    <row r="69" spans="1:22" x14ac:dyDescent="0.3">
      <c r="A69" s="66"/>
    </row>
    <row r="70" spans="1:22" x14ac:dyDescent="0.3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22" x14ac:dyDescent="0.3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22" x14ac:dyDescent="0.3">
      <c r="C72" t="s">
        <v>25</v>
      </c>
      <c r="D72" s="20" t="s">
        <v>4</v>
      </c>
      <c r="E72" s="43" cm="1">
        <f t="array" ref="E72">+MIN(_xlfn._xlws.FILTER($G$60:$G$68,E21:E29&gt;0))</f>
        <v>0.90785636102027911</v>
      </c>
      <c r="F72" s="44" cm="1">
        <f t="array" ref="F72">+MIN(_xlfn._xlws.FILTER($G$60:$G$68,F21:F29&gt;0))</f>
        <v>0.90785636102027911</v>
      </c>
      <c r="G72" s="44" cm="1">
        <f t="array" ref="G72">+MIN(_xlfn._xlws.FILTER($G$60:$G$68,G21:G29&gt;0))</f>
        <v>0.90785636102027911</v>
      </c>
      <c r="H72" s="44" cm="1">
        <f t="array" ref="H72">+MIN(_xlfn._xlws.FILTER($G$60:$G$68,H21:H29&gt;0))</f>
        <v>0.90785636102027911</v>
      </c>
      <c r="I72" s="44" cm="1">
        <f t="array" ref="I72">+MIN(_xlfn._xlws.FILTER($G$60:$G$68,I21:I29&gt;0))</f>
        <v>1</v>
      </c>
      <c r="J72" s="44" cm="1">
        <f t="array" ref="J72">+MIN(_xlfn._xlws.FILTER($G$60:$G$68,J21:J29&gt;0))</f>
        <v>0.90785636102027911</v>
      </c>
      <c r="K72" s="44" cm="1">
        <f t="array" ref="K72">+MIN(_xlfn._xlws.FILTER($G$60:$G$68,K21:K29&gt;0))</f>
        <v>0.90785636102027911</v>
      </c>
      <c r="L72" s="44" cm="1">
        <f t="array" ref="L72">+MIN(_xlfn._xlws.FILTER($G$60:$G$68,L21:L29&gt;0))</f>
        <v>0.90785636102027911</v>
      </c>
      <c r="M72" s="45" cm="1">
        <f t="array" ref="M72">+MIN(_xlfn._xlws.FILTER($G$60:$G$68,M21:M29&gt;0))</f>
        <v>0.90785636102027911</v>
      </c>
    </row>
    <row r="73" spans="1:22" ht="15" thickBot="1" x14ac:dyDescent="0.35">
      <c r="C73" t="s">
        <v>26</v>
      </c>
      <c r="D73" s="49" t="s">
        <v>18</v>
      </c>
      <c r="E73" s="50" cm="1">
        <f t="array" ref="E73:M73">+TRANSPOSE(M47:M55)</f>
        <v>0.8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22" x14ac:dyDescent="0.3">
      <c r="D74" s="22" t="s">
        <v>22</v>
      </c>
      <c r="E74" s="46">
        <f>+MIN(E72:E73)</f>
        <v>0.8</v>
      </c>
      <c r="F74" s="47">
        <f t="shared" ref="F74:M74" si="21">+MIN(F72:F73)</f>
        <v>0.90785636102027911</v>
      </c>
      <c r="G74" s="47">
        <f t="shared" si="21"/>
        <v>0.90785636102027911</v>
      </c>
      <c r="H74" s="47">
        <f t="shared" si="21"/>
        <v>0.90785636102027911</v>
      </c>
      <c r="I74" s="47">
        <f t="shared" si="21"/>
        <v>1</v>
      </c>
      <c r="J74" s="47">
        <f t="shared" si="21"/>
        <v>0.90785636102027911</v>
      </c>
      <c r="K74" s="47">
        <f t="shared" si="21"/>
        <v>0.90785636102027911</v>
      </c>
      <c r="L74" s="47">
        <f t="shared" si="21"/>
        <v>0.90785636102027911</v>
      </c>
      <c r="M74" s="48">
        <f t="shared" si="21"/>
        <v>0.90785636102027911</v>
      </c>
    </row>
    <row r="75" spans="1:22" x14ac:dyDescent="0.3">
      <c r="A75" s="66"/>
    </row>
    <row r="76" spans="1:22" ht="15" thickBot="1" x14ac:dyDescent="0.35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22" ht="15" thickBot="1" x14ac:dyDescent="0.35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22" x14ac:dyDescent="0.3">
      <c r="B78" s="63" cm="1">
        <f t="array" ref="B78:B86">+TRANSPOSE(E74:M74)</f>
        <v>0.8</v>
      </c>
      <c r="C78" s="20" t="s">
        <v>1</v>
      </c>
      <c r="D78" s="28" t="s">
        <v>51</v>
      </c>
      <c r="E78" s="1">
        <f>+E5*$B78</f>
        <v>8</v>
      </c>
      <c r="F78" s="2">
        <f t="shared" ref="F78:M78" si="22">+F5*$B78</f>
        <v>4</v>
      </c>
      <c r="G78" s="2">
        <f t="shared" si="22"/>
        <v>8</v>
      </c>
      <c r="H78" s="2">
        <f t="shared" si="22"/>
        <v>0.8</v>
      </c>
      <c r="I78" s="2">
        <f t="shared" si="22"/>
        <v>0</v>
      </c>
      <c r="J78" s="2">
        <f t="shared" si="22"/>
        <v>6.4</v>
      </c>
      <c r="K78" s="2">
        <f t="shared" si="22"/>
        <v>2.4000000000000004</v>
      </c>
      <c r="L78" s="2">
        <f t="shared" si="22"/>
        <v>5.6000000000000005</v>
      </c>
      <c r="M78" s="3">
        <f t="shared" si="22"/>
        <v>1.6</v>
      </c>
      <c r="N78" s="18"/>
      <c r="O78" s="18"/>
      <c r="P78" s="18"/>
      <c r="Q78" s="18"/>
      <c r="R78" s="18"/>
      <c r="S78" s="18"/>
      <c r="T78" s="18"/>
      <c r="U78" s="18"/>
      <c r="V78" s="18"/>
    </row>
    <row r="79" spans="1:22" x14ac:dyDescent="0.3">
      <c r="B79" s="30">
        <v>0.90785636102027911</v>
      </c>
      <c r="C79" s="20" t="s">
        <v>1</v>
      </c>
      <c r="D79" s="25" t="s">
        <v>52</v>
      </c>
      <c r="E79" s="5">
        <f t="shared" ref="E79:M86" si="23">+E6*$B79</f>
        <v>7.2628508881622329</v>
      </c>
      <c r="F79" s="6">
        <f t="shared" si="23"/>
        <v>2.7235690830608372</v>
      </c>
      <c r="G79" s="6">
        <f t="shared" si="23"/>
        <v>8.1707072491825112</v>
      </c>
      <c r="H79" s="6">
        <f t="shared" si="23"/>
        <v>3.6314254440811164</v>
      </c>
      <c r="I79" s="6">
        <f t="shared" si="23"/>
        <v>1.8157127220405582</v>
      </c>
      <c r="J79" s="6">
        <f t="shared" si="23"/>
        <v>9.0785636102027905</v>
      </c>
      <c r="K79" s="6">
        <f t="shared" si="23"/>
        <v>0.90785636102027911</v>
      </c>
      <c r="L79" s="6">
        <f t="shared" si="23"/>
        <v>3.6314254440811164</v>
      </c>
      <c r="M79" s="7">
        <f t="shared" si="23"/>
        <v>6.3549945271419537</v>
      </c>
      <c r="N79" s="18"/>
      <c r="O79" s="18"/>
      <c r="P79" s="18"/>
      <c r="Q79" s="18"/>
      <c r="R79" s="18"/>
      <c r="S79" s="18"/>
      <c r="T79" s="18"/>
      <c r="U79" s="18"/>
      <c r="V79" s="18"/>
    </row>
    <row r="80" spans="1:22" x14ac:dyDescent="0.3">
      <c r="B80" s="30">
        <v>0.90785636102027911</v>
      </c>
      <c r="C80" s="20" t="s">
        <v>1</v>
      </c>
      <c r="D80" s="25" t="s">
        <v>53</v>
      </c>
      <c r="E80" s="5">
        <f t="shared" si="23"/>
        <v>0</v>
      </c>
      <c r="F80" s="6">
        <f t="shared" si="23"/>
        <v>0</v>
      </c>
      <c r="G80" s="6">
        <f t="shared" si="23"/>
        <v>0</v>
      </c>
      <c r="H80" s="6">
        <f t="shared" si="23"/>
        <v>6.3549945271419537</v>
      </c>
      <c r="I80" s="6">
        <f t="shared" si="23"/>
        <v>3.6314254440811164</v>
      </c>
      <c r="J80" s="6">
        <f t="shared" si="23"/>
        <v>3.6314254440811164</v>
      </c>
      <c r="K80" s="6">
        <f t="shared" si="23"/>
        <v>6.3549945271419537</v>
      </c>
      <c r="L80" s="6">
        <f t="shared" si="23"/>
        <v>3.6314254440811164</v>
      </c>
      <c r="M80" s="7">
        <f t="shared" si="23"/>
        <v>6.3549945271419537</v>
      </c>
      <c r="N80" s="18"/>
      <c r="O80" s="18"/>
      <c r="P80" s="18"/>
      <c r="Q80" s="18"/>
      <c r="R80" s="18"/>
      <c r="S80" s="18"/>
      <c r="T80" s="18"/>
      <c r="U80" s="18"/>
      <c r="V80" s="18"/>
    </row>
    <row r="81" spans="1:22" x14ac:dyDescent="0.3">
      <c r="B81" s="30">
        <v>0.90785636102027911</v>
      </c>
      <c r="C81" s="20" t="s">
        <v>10</v>
      </c>
      <c r="D81" s="25" t="str">
        <f>+D78</f>
        <v>Agr</v>
      </c>
      <c r="E81" s="5">
        <f t="shared" si="23"/>
        <v>8.1707072491825112</v>
      </c>
      <c r="F81" s="6">
        <f t="shared" si="23"/>
        <v>4.5392818051013952</v>
      </c>
      <c r="G81" s="6">
        <f t="shared" si="23"/>
        <v>3.6314254440811164</v>
      </c>
      <c r="H81" s="6">
        <f t="shared" si="23"/>
        <v>6.3549945271419537</v>
      </c>
      <c r="I81" s="6">
        <f t="shared" si="23"/>
        <v>9.0785636102027905</v>
      </c>
      <c r="J81" s="6">
        <f t="shared" si="23"/>
        <v>8.1707072491825112</v>
      </c>
      <c r="K81" s="6">
        <f t="shared" si="23"/>
        <v>9.0785636102027905</v>
      </c>
      <c r="L81" s="6">
        <f t="shared" si="23"/>
        <v>8.1707072491825112</v>
      </c>
      <c r="M81" s="7">
        <f t="shared" si="23"/>
        <v>8.1707072491825112</v>
      </c>
      <c r="N81" s="18"/>
      <c r="O81" s="18"/>
      <c r="P81" s="18"/>
      <c r="Q81" s="18"/>
      <c r="R81" s="18"/>
      <c r="S81" s="18"/>
      <c r="T81" s="18"/>
      <c r="U81" s="18"/>
      <c r="V81" s="18"/>
    </row>
    <row r="82" spans="1:22" x14ac:dyDescent="0.3">
      <c r="B82" s="30">
        <v>1</v>
      </c>
      <c r="C82" s="20" t="s">
        <v>10</v>
      </c>
      <c r="D82" s="25" t="str">
        <f t="shared" ref="D82:D86" si="24">+D79</f>
        <v>Ind</v>
      </c>
      <c r="E82" s="5">
        <f t="shared" si="23"/>
        <v>4</v>
      </c>
      <c r="F82" s="6">
        <f t="shared" si="23"/>
        <v>2</v>
      </c>
      <c r="G82" s="6">
        <f t="shared" si="23"/>
        <v>3</v>
      </c>
      <c r="H82" s="6">
        <f t="shared" si="23"/>
        <v>6</v>
      </c>
      <c r="I82" s="6">
        <f t="shared" si="23"/>
        <v>7</v>
      </c>
      <c r="J82" s="6">
        <f t="shared" si="23"/>
        <v>4</v>
      </c>
      <c r="K82" s="6">
        <f t="shared" si="23"/>
        <v>9</v>
      </c>
      <c r="L82" s="6">
        <f t="shared" si="23"/>
        <v>2</v>
      </c>
      <c r="M82" s="7">
        <f t="shared" si="23"/>
        <v>8</v>
      </c>
      <c r="N82" s="18"/>
      <c r="O82" s="18"/>
      <c r="P82" s="18"/>
      <c r="Q82" s="18"/>
      <c r="R82" s="18"/>
      <c r="S82" s="18"/>
      <c r="T82" s="18"/>
      <c r="U82" s="18"/>
      <c r="V82" s="18"/>
    </row>
    <row r="83" spans="1:22" x14ac:dyDescent="0.3">
      <c r="B83" s="30">
        <v>0.90785636102027911</v>
      </c>
      <c r="C83" s="20" t="s">
        <v>10</v>
      </c>
      <c r="D83" s="25" t="str">
        <f t="shared" si="24"/>
        <v>Serv</v>
      </c>
      <c r="E83" s="5">
        <f t="shared" si="23"/>
        <v>5.4471381661216745</v>
      </c>
      <c r="F83" s="6">
        <f t="shared" si="23"/>
        <v>4.5392818051013952</v>
      </c>
      <c r="G83" s="6">
        <f t="shared" si="23"/>
        <v>3.6314254440811164</v>
      </c>
      <c r="H83" s="6">
        <f t="shared" si="23"/>
        <v>0.90785636102027911</v>
      </c>
      <c r="I83" s="6">
        <f t="shared" si="23"/>
        <v>8.1707072491825112</v>
      </c>
      <c r="J83" s="6">
        <f t="shared" si="23"/>
        <v>1.8157127220405582</v>
      </c>
      <c r="K83" s="6">
        <f t="shared" si="23"/>
        <v>0.90785636102027911</v>
      </c>
      <c r="L83" s="6">
        <f t="shared" si="23"/>
        <v>5.4471381661216745</v>
      </c>
      <c r="M83" s="7">
        <f t="shared" si="23"/>
        <v>0.90785636102027911</v>
      </c>
      <c r="N83" s="18"/>
      <c r="O83" s="18"/>
      <c r="P83" s="18"/>
      <c r="Q83" s="18"/>
      <c r="R83" s="18"/>
      <c r="S83" s="18"/>
      <c r="T83" s="18"/>
      <c r="U83" s="18"/>
      <c r="V83" s="18"/>
    </row>
    <row r="84" spans="1:22" x14ac:dyDescent="0.3">
      <c r="B84" s="30">
        <v>0.90785636102027911</v>
      </c>
      <c r="C84" s="20" t="s">
        <v>11</v>
      </c>
      <c r="D84" s="25" t="str">
        <f t="shared" si="24"/>
        <v>Agr</v>
      </c>
      <c r="E84" s="5">
        <f t="shared" si="23"/>
        <v>2.7235690830608372</v>
      </c>
      <c r="F84" s="6">
        <f t="shared" si="23"/>
        <v>9.0785636102027905</v>
      </c>
      <c r="G84" s="6">
        <f t="shared" si="23"/>
        <v>7.2628508881622329</v>
      </c>
      <c r="H84" s="6">
        <f t="shared" si="23"/>
        <v>8.1707072491825112</v>
      </c>
      <c r="I84" s="6">
        <f t="shared" si="23"/>
        <v>9.0785636102027905</v>
      </c>
      <c r="J84" s="6">
        <f t="shared" si="23"/>
        <v>0</v>
      </c>
      <c r="K84" s="6">
        <f t="shared" si="23"/>
        <v>6.3549945271419537</v>
      </c>
      <c r="L84" s="6">
        <f t="shared" si="23"/>
        <v>8.1707072491825112</v>
      </c>
      <c r="M84" s="7">
        <f t="shared" si="23"/>
        <v>7.2628508881622329</v>
      </c>
      <c r="N84" s="18"/>
      <c r="O84" s="18"/>
      <c r="P84" s="18"/>
      <c r="Q84" s="18"/>
      <c r="R84" s="18"/>
      <c r="S84" s="18"/>
      <c r="T84" s="18"/>
      <c r="U84" s="18"/>
      <c r="V84" s="18"/>
    </row>
    <row r="85" spans="1:22" x14ac:dyDescent="0.3">
      <c r="B85" s="30">
        <v>0.90785636102027911</v>
      </c>
      <c r="C85" s="20" t="s">
        <v>11</v>
      </c>
      <c r="D85" s="25" t="str">
        <f t="shared" si="24"/>
        <v>Ind</v>
      </c>
      <c r="E85" s="5">
        <f t="shared" si="23"/>
        <v>0.90785636102027911</v>
      </c>
      <c r="F85" s="6">
        <f t="shared" si="23"/>
        <v>7.2628508881622329</v>
      </c>
      <c r="G85" s="6">
        <f t="shared" si="23"/>
        <v>0</v>
      </c>
      <c r="H85" s="6">
        <f t="shared" si="23"/>
        <v>8.1707072491825112</v>
      </c>
      <c r="I85" s="6">
        <f t="shared" si="23"/>
        <v>0</v>
      </c>
      <c r="J85" s="6">
        <f t="shared" si="23"/>
        <v>0</v>
      </c>
      <c r="K85" s="6">
        <f t="shared" si="23"/>
        <v>7.2628508881622329</v>
      </c>
      <c r="L85" s="6">
        <f t="shared" si="23"/>
        <v>9.0785636102027905</v>
      </c>
      <c r="M85" s="7">
        <f t="shared" si="23"/>
        <v>0.90785636102027911</v>
      </c>
      <c r="N85" s="18"/>
      <c r="O85" s="18"/>
      <c r="P85" s="18"/>
      <c r="Q85" s="18"/>
      <c r="R85" s="18"/>
      <c r="S85" s="18"/>
      <c r="T85" s="18"/>
      <c r="U85" s="18"/>
      <c r="V85" s="18"/>
    </row>
    <row r="86" spans="1:22" x14ac:dyDescent="0.3">
      <c r="B86" s="31">
        <v>0.90785636102027911</v>
      </c>
      <c r="C86" s="20" t="s">
        <v>11</v>
      </c>
      <c r="D86" s="25" t="str">
        <f t="shared" si="24"/>
        <v>Serv</v>
      </c>
      <c r="E86" s="9">
        <f t="shared" si="23"/>
        <v>9.0785636102027905</v>
      </c>
      <c r="F86" s="10">
        <f t="shared" si="23"/>
        <v>1.8157127220405582</v>
      </c>
      <c r="G86" s="10">
        <f t="shared" si="23"/>
        <v>3.6314254440811164</v>
      </c>
      <c r="H86" s="10">
        <f t="shared" si="23"/>
        <v>9.0785636102027905</v>
      </c>
      <c r="I86" s="10">
        <f t="shared" si="23"/>
        <v>0</v>
      </c>
      <c r="J86" s="10">
        <f t="shared" si="23"/>
        <v>0</v>
      </c>
      <c r="K86" s="10">
        <f t="shared" si="23"/>
        <v>2.7235690830608372</v>
      </c>
      <c r="L86" s="10">
        <f t="shared" si="23"/>
        <v>0</v>
      </c>
      <c r="M86" s="11">
        <f t="shared" si="23"/>
        <v>6.3549945271419537</v>
      </c>
      <c r="N86" s="18"/>
      <c r="O86" s="18"/>
      <c r="P86" s="18"/>
      <c r="Q86" s="18"/>
      <c r="R86" s="18"/>
      <c r="S86" s="18"/>
      <c r="T86" s="18"/>
      <c r="U86" s="18"/>
      <c r="V86" s="18"/>
    </row>
    <row r="87" spans="1:22" x14ac:dyDescent="0.3">
      <c r="N87" s="19">
        <f>+SUM(E78:M86)</f>
        <v>376.8533173315904</v>
      </c>
    </row>
    <row r="88" spans="1:22" x14ac:dyDescent="0.3">
      <c r="D88" s="20" t="str" cm="1">
        <f t="array" ref="D88:M89">+TRANSPOSE(E59:F68)</f>
        <v>x_md</v>
      </c>
      <c r="E88" s="43">
        <v>62.564963400340424</v>
      </c>
      <c r="F88" s="44">
        <v>43.188684730544139</v>
      </c>
      <c r="G88" s="44">
        <v>37.170623838812148</v>
      </c>
      <c r="H88" s="44">
        <v>59.179432053993636</v>
      </c>
      <c r="I88" s="44">
        <v>37.743350106924701</v>
      </c>
      <c r="J88" s="44">
        <v>45.24433092508891</v>
      </c>
      <c r="K88" s="44">
        <v>58.444925398624719</v>
      </c>
      <c r="L88" s="44">
        <v>53.2769747906856</v>
      </c>
      <c r="M88" s="45">
        <v>49.754021969992493</v>
      </c>
    </row>
    <row r="89" spans="1:22" ht="15" thickBot="1" x14ac:dyDescent="0.35">
      <c r="D89" s="49" t="str">
        <v>x_max</v>
      </c>
      <c r="E89" s="50">
        <v>56.800000000000004</v>
      </c>
      <c r="F89" s="51">
        <v>55</v>
      </c>
      <c r="G89" s="51">
        <v>47</v>
      </c>
      <c r="H89" s="51">
        <v>82</v>
      </c>
      <c r="I89" s="51">
        <v>50</v>
      </c>
      <c r="J89" s="51">
        <v>55</v>
      </c>
      <c r="K89" s="51">
        <v>79</v>
      </c>
      <c r="L89" s="51">
        <v>65</v>
      </c>
      <c r="M89" s="52">
        <v>60</v>
      </c>
    </row>
    <row r="90" spans="1:22" x14ac:dyDescent="0.3">
      <c r="D90" s="22" t="s">
        <v>60</v>
      </c>
      <c r="E90" s="46">
        <f>+MIN(E88:E89)</f>
        <v>56.800000000000004</v>
      </c>
      <c r="F90" s="47">
        <f t="shared" ref="F90:M90" si="25">+MIN(F88:F89)</f>
        <v>43.188684730544139</v>
      </c>
      <c r="G90" s="47">
        <f t="shared" si="25"/>
        <v>37.170623838812148</v>
      </c>
      <c r="H90" s="47">
        <f t="shared" si="25"/>
        <v>59.179432053993636</v>
      </c>
      <c r="I90" s="47">
        <f t="shared" si="25"/>
        <v>37.743350106924701</v>
      </c>
      <c r="J90" s="47">
        <f t="shared" si="25"/>
        <v>45.24433092508891</v>
      </c>
      <c r="K90" s="47">
        <f t="shared" si="25"/>
        <v>58.444925398624719</v>
      </c>
      <c r="L90" s="47">
        <f t="shared" si="25"/>
        <v>53.2769747906856</v>
      </c>
      <c r="M90" s="48">
        <f t="shared" si="25"/>
        <v>49.754021969992493</v>
      </c>
      <c r="N90" s="19">
        <f>+SUM(E90:M90)</f>
        <v>440.80234381466636</v>
      </c>
    </row>
    <row r="91" spans="1:22" x14ac:dyDescent="0.3">
      <c r="A91" s="66"/>
    </row>
    <row r="92" spans="1:22" ht="15" thickBot="1" x14ac:dyDescent="0.35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22" ht="72.599999999999994" thickBot="1" x14ac:dyDescent="0.35">
      <c r="A93" s="67"/>
      <c r="C93" s="98" t="s">
        <v>54</v>
      </c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22" x14ac:dyDescent="0.3">
      <c r="C94" s="20" t="s">
        <v>1</v>
      </c>
      <c r="D94" s="28" t="s">
        <v>51</v>
      </c>
      <c r="E94" s="1">
        <f>+E21*E$88</f>
        <v>8.8119666761042854</v>
      </c>
      <c r="F94" s="2">
        <f t="shared" ref="F94:M94" si="26">+F21*F$88</f>
        <v>3.9262440664131035</v>
      </c>
      <c r="G94" s="2">
        <f t="shared" si="26"/>
        <v>7.9086433699600311</v>
      </c>
      <c r="H94" s="2">
        <f t="shared" si="26"/>
        <v>0.72170039090236149</v>
      </c>
      <c r="I94" s="2">
        <f t="shared" si="26"/>
        <v>0</v>
      </c>
      <c r="J94" s="2">
        <f t="shared" si="26"/>
        <v>6.5809935891038416</v>
      </c>
      <c r="K94" s="2">
        <f t="shared" si="26"/>
        <v>2.2194275467832174</v>
      </c>
      <c r="L94" s="2">
        <f t="shared" si="26"/>
        <v>5.737520362073834</v>
      </c>
      <c r="M94" s="3">
        <f t="shared" si="26"/>
        <v>1.6584673989997498</v>
      </c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3">
      <c r="C95" s="20" t="s">
        <v>1</v>
      </c>
      <c r="D95" s="25" t="s">
        <v>52</v>
      </c>
      <c r="E95" s="5">
        <f t="shared" ref="E95:M102" si="27">+E22*E$88</f>
        <v>7.0495733408834287</v>
      </c>
      <c r="F95" s="6">
        <f t="shared" si="27"/>
        <v>2.355746439847862</v>
      </c>
      <c r="G95" s="6">
        <f t="shared" si="27"/>
        <v>7.1177790329640285</v>
      </c>
      <c r="H95" s="6">
        <f t="shared" si="27"/>
        <v>2.886801563609446</v>
      </c>
      <c r="I95" s="6">
        <f t="shared" si="27"/>
        <v>1.509734004276988</v>
      </c>
      <c r="J95" s="6">
        <f t="shared" si="27"/>
        <v>8.2262419863798026</v>
      </c>
      <c r="K95" s="6">
        <f t="shared" si="27"/>
        <v>0.7398091822610724</v>
      </c>
      <c r="L95" s="6">
        <f t="shared" si="27"/>
        <v>3.2785830640421909</v>
      </c>
      <c r="M95" s="7">
        <f t="shared" si="27"/>
        <v>5.804635896499124</v>
      </c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3">
      <c r="C96" s="20" t="s">
        <v>1</v>
      </c>
      <c r="D96" s="25" t="s">
        <v>53</v>
      </c>
      <c r="E96" s="5">
        <f t="shared" si="27"/>
        <v>0</v>
      </c>
      <c r="F96" s="6">
        <f t="shared" si="27"/>
        <v>0</v>
      </c>
      <c r="G96" s="6">
        <f t="shared" si="27"/>
        <v>0</v>
      </c>
      <c r="H96" s="6">
        <f t="shared" si="27"/>
        <v>5.0519027363165305</v>
      </c>
      <c r="I96" s="6">
        <f t="shared" si="27"/>
        <v>3.019468008553976</v>
      </c>
      <c r="J96" s="6">
        <f t="shared" si="27"/>
        <v>3.2904967945519208</v>
      </c>
      <c r="K96" s="6">
        <f t="shared" si="27"/>
        <v>5.178664275827507</v>
      </c>
      <c r="L96" s="6">
        <f t="shared" si="27"/>
        <v>3.2785830640421909</v>
      </c>
      <c r="M96" s="7">
        <f t="shared" si="27"/>
        <v>5.804635896499124</v>
      </c>
      <c r="N96" s="19"/>
      <c r="O96" s="19"/>
      <c r="P96" s="19"/>
      <c r="Q96" s="19"/>
      <c r="R96" s="19"/>
      <c r="S96" s="19"/>
      <c r="T96" s="19"/>
      <c r="U96" s="19"/>
      <c r="V96" s="19"/>
    </row>
    <row r="97" spans="3:36" x14ac:dyDescent="0.3">
      <c r="C97" s="20" t="s">
        <v>10</v>
      </c>
      <c r="D97" s="25" t="str">
        <f>+D94</f>
        <v>Agr</v>
      </c>
      <c r="E97" s="5">
        <f t="shared" si="27"/>
        <v>7.9307700084938562</v>
      </c>
      <c r="F97" s="6">
        <f t="shared" si="27"/>
        <v>3.9262440664131035</v>
      </c>
      <c r="G97" s="6">
        <f t="shared" si="27"/>
        <v>3.1634573479840125</v>
      </c>
      <c r="H97" s="6">
        <f t="shared" si="27"/>
        <v>5.0519027363165305</v>
      </c>
      <c r="I97" s="6">
        <f t="shared" si="27"/>
        <v>7.5486700213849405</v>
      </c>
      <c r="J97" s="6">
        <f t="shared" si="27"/>
        <v>7.4036177877418217</v>
      </c>
      <c r="K97" s="6">
        <f t="shared" si="27"/>
        <v>7.3980918226107244</v>
      </c>
      <c r="L97" s="6">
        <f t="shared" si="27"/>
        <v>7.3768118940949297</v>
      </c>
      <c r="M97" s="7">
        <f t="shared" si="27"/>
        <v>7.4631032954988736</v>
      </c>
      <c r="N97" s="19"/>
      <c r="O97" s="19"/>
      <c r="P97" s="19"/>
      <c r="Q97" s="19"/>
      <c r="R97" s="19"/>
      <c r="S97" s="19"/>
      <c r="T97" s="19"/>
      <c r="U97" s="19"/>
      <c r="V97" s="19"/>
    </row>
    <row r="98" spans="3:36" x14ac:dyDescent="0.3">
      <c r="C98" s="20" t="s">
        <v>10</v>
      </c>
      <c r="D98" s="25" t="str">
        <f t="shared" ref="D98:D102" si="28">+D95</f>
        <v>Ind</v>
      </c>
      <c r="E98" s="5">
        <f t="shared" si="27"/>
        <v>3.5247866704417143</v>
      </c>
      <c r="F98" s="6">
        <f t="shared" si="27"/>
        <v>1.5704976265652413</v>
      </c>
      <c r="G98" s="6">
        <f t="shared" si="27"/>
        <v>2.3725930109880093</v>
      </c>
      <c r="H98" s="6">
        <f t="shared" si="27"/>
        <v>4.3302023454141683</v>
      </c>
      <c r="I98" s="6">
        <f t="shared" si="27"/>
        <v>5.2840690149694591</v>
      </c>
      <c r="J98" s="6">
        <f t="shared" si="27"/>
        <v>3.2904967945519208</v>
      </c>
      <c r="K98" s="6">
        <f t="shared" si="27"/>
        <v>6.6582826403496513</v>
      </c>
      <c r="L98" s="6">
        <f t="shared" si="27"/>
        <v>1.6392915320210955</v>
      </c>
      <c r="M98" s="7">
        <f t="shared" si="27"/>
        <v>6.6338695959989993</v>
      </c>
      <c r="N98" s="19"/>
      <c r="O98" s="19"/>
      <c r="P98" s="19"/>
      <c r="Q98" s="19"/>
      <c r="R98" s="19"/>
      <c r="S98" s="19"/>
      <c r="T98" s="19"/>
      <c r="U98" s="19"/>
      <c r="V98" s="19"/>
    </row>
    <row r="99" spans="3:36" x14ac:dyDescent="0.3">
      <c r="C99" s="20" t="s">
        <v>10</v>
      </c>
      <c r="D99" s="25" t="str">
        <f t="shared" si="28"/>
        <v>Serv</v>
      </c>
      <c r="E99" s="5">
        <f t="shared" si="27"/>
        <v>5.2871800056625711</v>
      </c>
      <c r="F99" s="6">
        <f t="shared" si="27"/>
        <v>3.9262440664131035</v>
      </c>
      <c r="G99" s="6">
        <f t="shared" si="27"/>
        <v>3.1634573479840125</v>
      </c>
      <c r="H99" s="6">
        <f t="shared" si="27"/>
        <v>0.72170039090236149</v>
      </c>
      <c r="I99" s="6">
        <f t="shared" si="27"/>
        <v>6.7938030192464458</v>
      </c>
      <c r="J99" s="6">
        <f t="shared" si="27"/>
        <v>1.6452483972759604</v>
      </c>
      <c r="K99" s="6">
        <f t="shared" si="27"/>
        <v>0.7398091822610724</v>
      </c>
      <c r="L99" s="6">
        <f t="shared" si="27"/>
        <v>4.9178745960632861</v>
      </c>
      <c r="M99" s="7">
        <f t="shared" si="27"/>
        <v>0.82923369949987491</v>
      </c>
      <c r="N99" s="19"/>
      <c r="O99" s="19"/>
      <c r="P99" s="19"/>
      <c r="Q99" s="19"/>
      <c r="R99" s="19"/>
      <c r="S99" s="19"/>
      <c r="T99" s="19"/>
      <c r="U99" s="19"/>
      <c r="V99" s="19"/>
    </row>
    <row r="100" spans="3:36" x14ac:dyDescent="0.3">
      <c r="C100" s="20" t="s">
        <v>11</v>
      </c>
      <c r="D100" s="25" t="str">
        <f t="shared" si="28"/>
        <v>Agr</v>
      </c>
      <c r="E100" s="5">
        <f t="shared" si="27"/>
        <v>2.6435900028312855</v>
      </c>
      <c r="F100" s="6">
        <f t="shared" si="27"/>
        <v>7.8524881328262071</v>
      </c>
      <c r="G100" s="6">
        <f t="shared" si="27"/>
        <v>6.3269146959680249</v>
      </c>
      <c r="H100" s="6">
        <f t="shared" si="27"/>
        <v>6.4953035181212524</v>
      </c>
      <c r="I100" s="6">
        <f t="shared" si="27"/>
        <v>7.5486700213849405</v>
      </c>
      <c r="J100" s="6">
        <f t="shared" si="27"/>
        <v>0</v>
      </c>
      <c r="K100" s="6">
        <f t="shared" si="27"/>
        <v>5.178664275827507</v>
      </c>
      <c r="L100" s="6">
        <f t="shared" si="27"/>
        <v>7.3768118940949297</v>
      </c>
      <c r="M100" s="7">
        <f t="shared" si="27"/>
        <v>6.6338695959989993</v>
      </c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3:36" x14ac:dyDescent="0.3">
      <c r="C101" s="20" t="s">
        <v>11</v>
      </c>
      <c r="D101" s="25" t="str">
        <f t="shared" si="28"/>
        <v>Ind</v>
      </c>
      <c r="E101" s="5">
        <f t="shared" si="27"/>
        <v>0.88119666761042859</v>
      </c>
      <c r="F101" s="6">
        <f t="shared" si="27"/>
        <v>6.2819905062609651</v>
      </c>
      <c r="G101" s="6">
        <f t="shared" si="27"/>
        <v>0</v>
      </c>
      <c r="H101" s="6">
        <f t="shared" si="27"/>
        <v>6.4953035181212524</v>
      </c>
      <c r="I101" s="6">
        <f t="shared" si="27"/>
        <v>0</v>
      </c>
      <c r="J101" s="6">
        <f t="shared" si="27"/>
        <v>0</v>
      </c>
      <c r="K101" s="6">
        <f t="shared" si="27"/>
        <v>5.9184734580885792</v>
      </c>
      <c r="L101" s="6">
        <f t="shared" si="27"/>
        <v>8.1964576601054766</v>
      </c>
      <c r="M101" s="7">
        <f t="shared" si="27"/>
        <v>0.82923369949987491</v>
      </c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3:36" x14ac:dyDescent="0.3">
      <c r="C102" s="20" t="s">
        <v>11</v>
      </c>
      <c r="D102" s="25" t="str">
        <f t="shared" si="28"/>
        <v>Serv</v>
      </c>
      <c r="E102" s="9">
        <f t="shared" si="27"/>
        <v>8.8119666761042854</v>
      </c>
      <c r="F102" s="10">
        <f t="shared" si="27"/>
        <v>1.5704976265652413</v>
      </c>
      <c r="G102" s="10">
        <f t="shared" si="27"/>
        <v>3.1634573479840125</v>
      </c>
      <c r="H102" s="10">
        <f t="shared" si="27"/>
        <v>7.2170039090236138</v>
      </c>
      <c r="I102" s="10">
        <f t="shared" si="27"/>
        <v>0</v>
      </c>
      <c r="J102" s="10">
        <f t="shared" si="27"/>
        <v>0</v>
      </c>
      <c r="K102" s="10">
        <f t="shared" si="27"/>
        <v>2.2194275467832174</v>
      </c>
      <c r="L102" s="10">
        <f t="shared" si="27"/>
        <v>0</v>
      </c>
      <c r="M102" s="11">
        <f t="shared" si="27"/>
        <v>5.804635896499124</v>
      </c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3:36" x14ac:dyDescent="0.3">
      <c r="N103" s="19">
        <f>+SUM(E94:M102)</f>
        <v>330.19488425374249</v>
      </c>
    </row>
    <row r="104" spans="3:36" ht="15" thickBot="1" x14ac:dyDescent="0.35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36" ht="15" thickBot="1" x14ac:dyDescent="0.35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36" x14ac:dyDescent="0.3">
      <c r="C106" s="20" t="s">
        <v>1</v>
      </c>
      <c r="D106" s="28" t="s">
        <v>51</v>
      </c>
      <c r="E106" s="1">
        <f>+MAX(E94-E78,0)</f>
        <v>0.81196667610428541</v>
      </c>
      <c r="F106" s="2">
        <f t="shared" ref="F106:M106" si="29">+MAX(F94-F78,0)</f>
        <v>0</v>
      </c>
      <c r="G106" s="2">
        <f t="shared" si="29"/>
        <v>0</v>
      </c>
      <c r="H106" s="2">
        <f t="shared" si="29"/>
        <v>0</v>
      </c>
      <c r="I106" s="2">
        <f t="shared" si="29"/>
        <v>0</v>
      </c>
      <c r="J106" s="2">
        <f t="shared" si="29"/>
        <v>0.18099358910384122</v>
      </c>
      <c r="K106" s="2">
        <f t="shared" si="29"/>
        <v>0</v>
      </c>
      <c r="L106" s="2">
        <f t="shared" si="29"/>
        <v>0.13752036207383345</v>
      </c>
      <c r="M106" s="3">
        <f t="shared" si="29"/>
        <v>5.8467398999749731E-2</v>
      </c>
      <c r="N106" s="53">
        <f>+SUM(E106:M106)</f>
        <v>1.1889480262817098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6"/>
      <c r="Y106" s="16"/>
      <c r="Z106" s="16"/>
      <c r="AA106" s="16"/>
      <c r="AB106" s="16"/>
      <c r="AC106" s="16"/>
      <c r="AD106" s="16"/>
      <c r="AE106" s="16"/>
      <c r="AF106" s="16"/>
      <c r="AG106" s="18"/>
      <c r="AH106" s="18"/>
      <c r="AI106" s="18"/>
      <c r="AJ106" s="18"/>
    </row>
    <row r="107" spans="3:36" x14ac:dyDescent="0.3">
      <c r="C107" s="20" t="s">
        <v>1</v>
      </c>
      <c r="D107" s="25" t="s">
        <v>52</v>
      </c>
      <c r="E107" s="5">
        <f t="shared" ref="E107:M114" si="30">+MAX(E95-E79,0)</f>
        <v>0</v>
      </c>
      <c r="F107" s="6">
        <f t="shared" si="30"/>
        <v>0</v>
      </c>
      <c r="G107" s="6">
        <f t="shared" si="30"/>
        <v>0</v>
      </c>
      <c r="H107" s="6">
        <f t="shared" si="30"/>
        <v>0</v>
      </c>
      <c r="I107" s="6">
        <f t="shared" si="30"/>
        <v>0</v>
      </c>
      <c r="J107" s="6">
        <f t="shared" si="30"/>
        <v>0</v>
      </c>
      <c r="K107" s="6">
        <f t="shared" si="30"/>
        <v>0</v>
      </c>
      <c r="L107" s="6">
        <f t="shared" si="30"/>
        <v>0</v>
      </c>
      <c r="M107" s="7">
        <f t="shared" si="30"/>
        <v>0</v>
      </c>
      <c r="N107" s="8">
        <f t="shared" ref="N107:N114" si="31">+SUM(E107:M107)</f>
        <v>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6"/>
      <c r="Y107" s="16"/>
      <c r="Z107" s="16"/>
      <c r="AA107" s="16"/>
      <c r="AB107" s="16"/>
      <c r="AC107" s="16"/>
      <c r="AD107" s="16"/>
      <c r="AE107" s="16"/>
      <c r="AF107" s="16"/>
      <c r="AG107" s="18"/>
      <c r="AH107" s="18"/>
      <c r="AI107" s="18"/>
      <c r="AJ107" s="18"/>
    </row>
    <row r="108" spans="3:36" x14ac:dyDescent="0.3">
      <c r="C108" s="20" t="s">
        <v>1</v>
      </c>
      <c r="D108" s="25" t="s">
        <v>53</v>
      </c>
      <c r="E108" s="5">
        <f t="shared" si="30"/>
        <v>0</v>
      </c>
      <c r="F108" s="6">
        <f t="shared" si="30"/>
        <v>0</v>
      </c>
      <c r="G108" s="6">
        <f t="shared" si="30"/>
        <v>0</v>
      </c>
      <c r="H108" s="6">
        <f t="shared" si="30"/>
        <v>0</v>
      </c>
      <c r="I108" s="6">
        <f t="shared" si="30"/>
        <v>0</v>
      </c>
      <c r="J108" s="6">
        <f t="shared" si="30"/>
        <v>0</v>
      </c>
      <c r="K108" s="6">
        <f t="shared" si="30"/>
        <v>0</v>
      </c>
      <c r="L108" s="6">
        <f t="shared" si="30"/>
        <v>0</v>
      </c>
      <c r="M108" s="7">
        <f t="shared" si="30"/>
        <v>0</v>
      </c>
      <c r="N108" s="8">
        <f t="shared" si="31"/>
        <v>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6"/>
      <c r="Y108" s="16"/>
      <c r="Z108" s="16"/>
      <c r="AA108" s="16"/>
      <c r="AB108" s="16"/>
      <c r="AC108" s="16"/>
      <c r="AD108" s="16"/>
      <c r="AE108" s="16"/>
      <c r="AF108" s="16"/>
      <c r="AG108" s="18"/>
      <c r="AH108" s="18"/>
      <c r="AI108" s="18"/>
      <c r="AJ108" s="18"/>
    </row>
    <row r="109" spans="3:36" x14ac:dyDescent="0.3">
      <c r="C109" s="20" t="s">
        <v>10</v>
      </c>
      <c r="D109" s="25" t="str">
        <f>+D106</f>
        <v>Agr</v>
      </c>
      <c r="E109" s="5">
        <f t="shared" si="30"/>
        <v>0</v>
      </c>
      <c r="F109" s="6">
        <f t="shared" si="30"/>
        <v>0</v>
      </c>
      <c r="G109" s="6">
        <f t="shared" si="30"/>
        <v>0</v>
      </c>
      <c r="H109" s="6">
        <f t="shared" si="30"/>
        <v>0</v>
      </c>
      <c r="I109" s="6">
        <f t="shared" si="30"/>
        <v>0</v>
      </c>
      <c r="J109" s="6">
        <f t="shared" si="30"/>
        <v>0</v>
      </c>
      <c r="K109" s="6">
        <f t="shared" si="30"/>
        <v>0</v>
      </c>
      <c r="L109" s="6">
        <f t="shared" si="30"/>
        <v>0</v>
      </c>
      <c r="M109" s="7">
        <f t="shared" si="30"/>
        <v>0</v>
      </c>
      <c r="N109" s="8">
        <f t="shared" si="31"/>
        <v>0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6"/>
      <c r="Y109" s="16"/>
      <c r="Z109" s="16"/>
      <c r="AA109" s="16"/>
      <c r="AB109" s="16"/>
      <c r="AC109" s="16"/>
      <c r="AD109" s="16"/>
      <c r="AE109" s="16"/>
      <c r="AF109" s="16"/>
      <c r="AG109" s="18"/>
      <c r="AH109" s="18"/>
      <c r="AI109" s="18"/>
      <c r="AJ109" s="18"/>
    </row>
    <row r="110" spans="3:36" x14ac:dyDescent="0.3">
      <c r="C110" s="20" t="s">
        <v>10</v>
      </c>
      <c r="D110" s="25" t="str">
        <f t="shared" ref="D110:D114" si="32">+D107</f>
        <v>Ind</v>
      </c>
      <c r="E110" s="5">
        <f t="shared" si="30"/>
        <v>0</v>
      </c>
      <c r="F110" s="6">
        <f t="shared" si="30"/>
        <v>0</v>
      </c>
      <c r="G110" s="6">
        <f t="shared" si="30"/>
        <v>0</v>
      </c>
      <c r="H110" s="6">
        <f t="shared" si="30"/>
        <v>0</v>
      </c>
      <c r="I110" s="6">
        <f t="shared" si="30"/>
        <v>0</v>
      </c>
      <c r="J110" s="6">
        <f t="shared" si="30"/>
        <v>0</v>
      </c>
      <c r="K110" s="6">
        <f t="shared" si="30"/>
        <v>0</v>
      </c>
      <c r="L110" s="6">
        <f t="shared" si="30"/>
        <v>0</v>
      </c>
      <c r="M110" s="7">
        <f t="shared" si="30"/>
        <v>0</v>
      </c>
      <c r="N110" s="8">
        <f t="shared" si="31"/>
        <v>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6"/>
      <c r="Y110" s="16"/>
      <c r="Z110" s="16"/>
      <c r="AA110" s="16"/>
      <c r="AB110" s="16"/>
      <c r="AC110" s="16"/>
      <c r="AD110" s="16"/>
      <c r="AE110" s="16"/>
      <c r="AF110" s="16"/>
      <c r="AG110" s="18"/>
      <c r="AH110" s="18"/>
      <c r="AI110" s="18"/>
      <c r="AJ110" s="18"/>
    </row>
    <row r="111" spans="3:36" x14ac:dyDescent="0.3">
      <c r="C111" s="20" t="s">
        <v>10</v>
      </c>
      <c r="D111" s="25" t="str">
        <f t="shared" si="32"/>
        <v>Serv</v>
      </c>
      <c r="E111" s="5">
        <f t="shared" si="30"/>
        <v>0</v>
      </c>
      <c r="F111" s="6">
        <f t="shared" si="30"/>
        <v>0</v>
      </c>
      <c r="G111" s="6">
        <f t="shared" si="30"/>
        <v>0</v>
      </c>
      <c r="H111" s="6">
        <f t="shared" si="30"/>
        <v>0</v>
      </c>
      <c r="I111" s="6">
        <f t="shared" si="30"/>
        <v>0</v>
      </c>
      <c r="J111" s="6">
        <f t="shared" si="30"/>
        <v>0</v>
      </c>
      <c r="K111" s="6">
        <f t="shared" si="30"/>
        <v>0</v>
      </c>
      <c r="L111" s="6">
        <f t="shared" si="30"/>
        <v>0</v>
      </c>
      <c r="M111" s="7">
        <f t="shared" si="30"/>
        <v>0</v>
      </c>
      <c r="N111" s="8">
        <f t="shared" si="31"/>
        <v>0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6"/>
      <c r="Y111" s="16"/>
      <c r="Z111" s="16"/>
      <c r="AA111" s="16"/>
      <c r="AB111" s="16"/>
      <c r="AC111" s="16"/>
      <c r="AD111" s="16"/>
      <c r="AE111" s="16"/>
      <c r="AF111" s="16"/>
      <c r="AG111" s="18"/>
      <c r="AH111" s="18"/>
      <c r="AI111" s="18"/>
      <c r="AJ111" s="18"/>
    </row>
    <row r="112" spans="3:36" x14ac:dyDescent="0.3">
      <c r="C112" s="20" t="s">
        <v>11</v>
      </c>
      <c r="D112" s="25" t="str">
        <f t="shared" si="32"/>
        <v>Agr</v>
      </c>
      <c r="E112" s="5">
        <f t="shared" si="30"/>
        <v>0</v>
      </c>
      <c r="F112" s="6">
        <f t="shared" si="30"/>
        <v>0</v>
      </c>
      <c r="G112" s="6">
        <f t="shared" si="30"/>
        <v>0</v>
      </c>
      <c r="H112" s="6">
        <f t="shared" si="30"/>
        <v>0</v>
      </c>
      <c r="I112" s="6">
        <f t="shared" si="30"/>
        <v>0</v>
      </c>
      <c r="J112" s="6">
        <f t="shared" si="30"/>
        <v>0</v>
      </c>
      <c r="K112" s="6">
        <f t="shared" si="30"/>
        <v>0</v>
      </c>
      <c r="L112" s="6">
        <f t="shared" si="30"/>
        <v>0</v>
      </c>
      <c r="M112" s="7">
        <f t="shared" si="30"/>
        <v>0</v>
      </c>
      <c r="N112" s="8">
        <f t="shared" si="31"/>
        <v>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6"/>
      <c r="Y112" s="16"/>
      <c r="Z112" s="16"/>
      <c r="AA112" s="16"/>
      <c r="AB112" s="16"/>
      <c r="AC112" s="16"/>
      <c r="AD112" s="16"/>
      <c r="AE112" s="16"/>
      <c r="AF112" s="16"/>
      <c r="AG112" s="18"/>
      <c r="AH112" s="18"/>
      <c r="AI112" s="18"/>
      <c r="AJ112" s="18"/>
    </row>
    <row r="113" spans="1:36" x14ac:dyDescent="0.3">
      <c r="C113" s="20" t="s">
        <v>11</v>
      </c>
      <c r="D113" s="25" t="str">
        <f t="shared" si="32"/>
        <v>Ind</v>
      </c>
      <c r="E113" s="5">
        <f t="shared" si="30"/>
        <v>0</v>
      </c>
      <c r="F113" s="6">
        <f t="shared" si="30"/>
        <v>0</v>
      </c>
      <c r="G113" s="6">
        <f t="shared" si="30"/>
        <v>0</v>
      </c>
      <c r="H113" s="6">
        <f t="shared" si="30"/>
        <v>0</v>
      </c>
      <c r="I113" s="6">
        <f t="shared" si="30"/>
        <v>0</v>
      </c>
      <c r="J113" s="6">
        <f t="shared" si="30"/>
        <v>0</v>
      </c>
      <c r="K113" s="6">
        <f t="shared" si="30"/>
        <v>0</v>
      </c>
      <c r="L113" s="6">
        <f t="shared" si="30"/>
        <v>0</v>
      </c>
      <c r="M113" s="7">
        <f t="shared" si="30"/>
        <v>0</v>
      </c>
      <c r="N113" s="8">
        <f t="shared" si="31"/>
        <v>0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6"/>
      <c r="Y113" s="16"/>
      <c r="Z113" s="16"/>
      <c r="AA113" s="16"/>
      <c r="AB113" s="16"/>
      <c r="AC113" s="16"/>
      <c r="AD113" s="16"/>
      <c r="AE113" s="16"/>
      <c r="AF113" s="16"/>
      <c r="AG113" s="18"/>
      <c r="AH113" s="18"/>
      <c r="AI113" s="18"/>
      <c r="AJ113" s="18"/>
    </row>
    <row r="114" spans="1:36" x14ac:dyDescent="0.3">
      <c r="C114" s="20" t="s">
        <v>11</v>
      </c>
      <c r="D114" s="25" t="str">
        <f t="shared" si="32"/>
        <v>Serv</v>
      </c>
      <c r="E114" s="9">
        <f t="shared" si="30"/>
        <v>0</v>
      </c>
      <c r="F114" s="10">
        <f t="shared" si="30"/>
        <v>0</v>
      </c>
      <c r="G114" s="10">
        <f t="shared" si="30"/>
        <v>0</v>
      </c>
      <c r="H114" s="10">
        <f t="shared" si="30"/>
        <v>0</v>
      </c>
      <c r="I114" s="10">
        <f t="shared" si="30"/>
        <v>0</v>
      </c>
      <c r="J114" s="10">
        <f t="shared" si="30"/>
        <v>0</v>
      </c>
      <c r="K114" s="10">
        <f t="shared" si="30"/>
        <v>0</v>
      </c>
      <c r="L114" s="10">
        <f t="shared" si="30"/>
        <v>0</v>
      </c>
      <c r="M114" s="11">
        <f t="shared" si="30"/>
        <v>0</v>
      </c>
      <c r="N114" s="12">
        <f t="shared" si="31"/>
        <v>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6"/>
      <c r="Y114" s="16"/>
      <c r="Z114" s="16"/>
      <c r="AA114" s="16"/>
      <c r="AB114" s="16"/>
      <c r="AC114" s="16"/>
      <c r="AD114" s="16"/>
      <c r="AE114" s="16"/>
      <c r="AF114" s="16"/>
      <c r="AG114" s="18"/>
      <c r="AH114" s="18"/>
      <c r="AI114" s="18"/>
      <c r="AJ114" s="18"/>
    </row>
    <row r="115" spans="1:36" x14ac:dyDescent="0.3">
      <c r="C115" s="57"/>
      <c r="D115" s="57"/>
      <c r="E115" s="13">
        <f t="shared" ref="E115:M115" si="33">SUM(E105:E114)</f>
        <v>0.81196667610428541</v>
      </c>
      <c r="F115" s="14">
        <f t="shared" si="33"/>
        <v>0</v>
      </c>
      <c r="G115" s="14">
        <f t="shared" si="33"/>
        <v>0</v>
      </c>
      <c r="H115" s="14">
        <f t="shared" si="33"/>
        <v>0</v>
      </c>
      <c r="I115" s="14">
        <f t="shared" si="33"/>
        <v>0</v>
      </c>
      <c r="J115" s="14">
        <f t="shared" si="33"/>
        <v>0.18099358910384122</v>
      </c>
      <c r="K115" s="14">
        <f t="shared" si="33"/>
        <v>0</v>
      </c>
      <c r="L115" s="14">
        <f t="shared" si="33"/>
        <v>0.13752036207383345</v>
      </c>
      <c r="M115" s="15">
        <f t="shared" si="33"/>
        <v>5.8467398999749731E-2</v>
      </c>
      <c r="N115" s="19">
        <f>+SUM(E106:M114)</f>
        <v>1.1889480262817098</v>
      </c>
    </row>
    <row r="116" spans="1:36" x14ac:dyDescent="0.3">
      <c r="A116" s="66"/>
    </row>
    <row r="117" spans="1:36" x14ac:dyDescent="0.3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  <c r="N117" s="57" t="s">
        <v>56</v>
      </c>
      <c r="O117" t="str" cm="1">
        <f t="array" ref="O117:Q117">+TRANSPOSE(_xlfn.UNIQUE($D$118:$D$126))</f>
        <v>Agr</v>
      </c>
      <c r="P117" t="str">
        <v>Ind</v>
      </c>
      <c r="Q117" t="str">
        <v>Serv</v>
      </c>
      <c r="R117" s="100" t="s">
        <v>58</v>
      </c>
    </row>
    <row r="118" spans="1:36" x14ac:dyDescent="0.3">
      <c r="A118" s="67"/>
      <c r="C118" s="20" t="s">
        <v>1</v>
      </c>
      <c r="D118" s="20" t="s">
        <v>51</v>
      </c>
      <c r="E118" s="53">
        <f>+MAX(F60-H47-SUM(E78:M78),0)</f>
        <v>0</v>
      </c>
      <c r="F118" s="53" cm="1">
        <f t="array" ref="F118">+IFERROR(E118/_xlfn.XLOOKUP(D118,_xlfn.ANCHORARRAY($I$118),$K$118:$K$120,,0),1)</f>
        <v>0</v>
      </c>
      <c r="G118" s="53" cm="1">
        <f t="array" ref="G118">+E118/_xlfn.XLOOKUP(D118,_xlfn.ANCHORARRAY($I$118),$J$118:$J$120,,0)</f>
        <v>0</v>
      </c>
      <c r="I118" s="54" t="str" cm="1">
        <f t="array" ref="I118:I120">+_xlfn.UNIQUE(D118:D126)</f>
        <v>Agr</v>
      </c>
      <c r="J118" s="58">
        <f>+SUMIF($D$118:$D$126,I118,$E$118:$E$126)</f>
        <v>27.226158566215609</v>
      </c>
      <c r="K118" s="40">
        <f>+SUMIF($D$106:$D$114,I118,$N$106:$N$114)</f>
        <v>1.1889480262817098</v>
      </c>
      <c r="L118" s="40">
        <f>+IFERROR(MIN(1,J118/K118),1)</f>
        <v>1</v>
      </c>
      <c r="M118" s="18"/>
      <c r="N118" t="str" cm="1">
        <f t="array" ref="N118:N120">+_xlfn.UNIQUE($C$118:$C$126)</f>
        <v>A</v>
      </c>
      <c r="O118" s="16">
        <f>+SUMIFS($E$118:$E$126,$C$118:$C$126,$N118,$D$118:$D$126,O$117)</f>
        <v>0</v>
      </c>
      <c r="P118" s="16">
        <f t="shared" ref="P118:Q118" si="34">+SUMIFS($E$118:$E$126,$C$118:$C$126,$N118,$D$118:$D$126,P$117)</f>
        <v>7.2031144512463996</v>
      </c>
      <c r="Q118" s="16">
        <f t="shared" si="34"/>
        <v>5.4938670233098925</v>
      </c>
      <c r="S118" s="99" cm="1">
        <f t="array" ref="S118:S120">+O118:O120/O121</f>
        <v>0</v>
      </c>
      <c r="T118" s="99" cm="1">
        <f t="array" ref="T118:T120">+P118:P120/P121</f>
        <v>0.43658284761602045</v>
      </c>
      <c r="U118" s="99" cm="1">
        <f t="array" ref="U118:U120">+Q118:Q120/Q121</f>
        <v>0.30779255962673968</v>
      </c>
    </row>
    <row r="119" spans="1:36" x14ac:dyDescent="0.3">
      <c r="C119" s="20" t="s">
        <v>1</v>
      </c>
      <c r="D119" s="20" t="s">
        <v>52</v>
      </c>
      <c r="E119" s="8">
        <f>+MAX(F61-H48-SUM(E79:M79),0)</f>
        <v>7.2031144512463996</v>
      </c>
      <c r="F119" s="8" cm="1">
        <f t="array" ref="F119">+IFERROR(E119/_xlfn.XLOOKUP(D119,_xlfn.ANCHORARRAY($I$118),$K$118:$K$120,,0),1)</f>
        <v>1</v>
      </c>
      <c r="G119" s="8" cm="1">
        <f t="array" ref="G119">+E119/_xlfn.XLOOKUP(D119,_xlfn.ANCHORARRAY($I$118),$J$118:$J$120,,0)</f>
        <v>0.43658284761602045</v>
      </c>
      <c r="I119" s="55" t="str">
        <v>Ind</v>
      </c>
      <c r="J119" s="59">
        <f t="shared" ref="J119:J120" si="35">+SUMIF($D$118:$D$126,I119,$E$118:$E$126)</f>
        <v>16.498848936872619</v>
      </c>
      <c r="K119" s="41">
        <f t="shared" ref="K119:K120" si="36">+SUMIF($D$106:$D$114,I119,$N$106:$N$114)</f>
        <v>0</v>
      </c>
      <c r="L119" s="40">
        <f t="shared" ref="L119:L120" si="37">+IFERROR(MIN(1,J119/K119),1)</f>
        <v>1</v>
      </c>
      <c r="M119" s="18"/>
      <c r="N119" t="str">
        <v>B</v>
      </c>
      <c r="O119" s="16">
        <f t="shared" ref="O119:Q120" si="38">+SUMIFS($E$118:$E$126,$C$118:$C$126,$N119,$D$118:$D$126,O$117)</f>
        <v>14.717578933085051</v>
      </c>
      <c r="P119" s="16">
        <f t="shared" si="38"/>
        <v>2.5607391243755586</v>
      </c>
      <c r="Q119" s="16">
        <f t="shared" si="38"/>
        <v>6.0052471445100188</v>
      </c>
      <c r="S119" s="99">
        <v>0.54056759044031266</v>
      </c>
      <c r="T119" s="99">
        <v>0.15520713803571259</v>
      </c>
      <c r="U119" s="99">
        <v>0.33644250615412963</v>
      </c>
    </row>
    <row r="120" spans="1:36" x14ac:dyDescent="0.3">
      <c r="C120" s="20" t="s">
        <v>1</v>
      </c>
      <c r="D120" s="20" t="s">
        <v>53</v>
      </c>
      <c r="E120" s="8">
        <f>+MAX(F62-H49-SUM(E80:M80),0)</f>
        <v>5.4938670233098925</v>
      </c>
      <c r="F120" s="8" cm="1">
        <f t="array" ref="F120">+IFERROR(E120/_xlfn.XLOOKUP(D120,_xlfn.ANCHORARRAY($I$118),$K$118:$K$120,,0),1)</f>
        <v>1</v>
      </c>
      <c r="G120" s="8" cm="1">
        <f t="array" ref="G120">+E120/_xlfn.XLOOKUP(D120,_xlfn.ANCHORARRAY($I$118),$J$118:$J$120,,0)</f>
        <v>0.30779255962673968</v>
      </c>
      <c r="I120" s="56" t="str">
        <v>Serv</v>
      </c>
      <c r="J120" s="60">
        <f t="shared" si="35"/>
        <v>17.849252204056882</v>
      </c>
      <c r="K120" s="42">
        <f t="shared" si="36"/>
        <v>0</v>
      </c>
      <c r="L120" s="40">
        <f t="shared" si="37"/>
        <v>1</v>
      </c>
      <c r="M120" s="18"/>
      <c r="N120" t="str">
        <v>C</v>
      </c>
      <c r="O120" s="16">
        <f t="shared" si="38"/>
        <v>12.508579633130559</v>
      </c>
      <c r="P120" s="16">
        <f t="shared" si="38"/>
        <v>6.734995361250661</v>
      </c>
      <c r="Q120" s="16">
        <f t="shared" si="38"/>
        <v>6.3501380362369702</v>
      </c>
      <c r="S120" s="99">
        <v>0.45943240955968728</v>
      </c>
      <c r="T120" s="99">
        <v>0.40821001434826698</v>
      </c>
      <c r="U120" s="99">
        <v>0.35576493421913069</v>
      </c>
    </row>
    <row r="121" spans="1:36" x14ac:dyDescent="0.3">
      <c r="C121" s="20" t="s">
        <v>10</v>
      </c>
      <c r="D121" s="20" t="str">
        <f>+D118</f>
        <v>Agr</v>
      </c>
      <c r="E121" s="8">
        <f>+MAX(F63-H50-SUM(E81:M81),0)</f>
        <v>14.717578933085051</v>
      </c>
      <c r="F121" s="8" cm="1">
        <f t="array" ref="F121">+IFERROR(E121/_xlfn.XLOOKUP(D121,_xlfn.ANCHORARRAY($I$118),$K$118:$K$120,,0),1)</f>
        <v>12.378656263985304</v>
      </c>
      <c r="G121" s="8" cm="1">
        <f t="array" ref="G121">+E121/_xlfn.XLOOKUP(D121,_xlfn.ANCHORARRAY($I$118),$J$118:$J$120,,0)</f>
        <v>0.54056759044031266</v>
      </c>
      <c r="H121" s="18"/>
      <c r="N121" t="s">
        <v>57</v>
      </c>
      <c r="O121" s="19">
        <f>SUM(O118:O120)</f>
        <v>27.226158566215609</v>
      </c>
      <c r="P121" s="19">
        <f t="shared" ref="P121:Q121" si="39">SUM(P118:P120)</f>
        <v>16.498848936872619</v>
      </c>
      <c r="Q121" s="19">
        <f t="shared" si="39"/>
        <v>17.849252204056882</v>
      </c>
    </row>
    <row r="122" spans="1:36" x14ac:dyDescent="0.3">
      <c r="C122" s="20" t="s">
        <v>10</v>
      </c>
      <c r="D122" s="20" t="str">
        <f t="shared" ref="D122:D126" si="40">+D119</f>
        <v>Ind</v>
      </c>
      <c r="E122" s="8">
        <f t="shared" ref="E122:E126" si="41">+MAX(F64-H51-SUM(E82:M82),0)</f>
        <v>2.5607391243755586</v>
      </c>
      <c r="F122" s="8" cm="1">
        <f t="array" ref="F122">+IFERROR(E122/_xlfn.XLOOKUP(D122,_xlfn.ANCHORARRAY($I$118),$K$118:$K$120,,0),1)</f>
        <v>1</v>
      </c>
      <c r="G122" s="8" cm="1">
        <f t="array" ref="G122">+E122/_xlfn.XLOOKUP(D122,_xlfn.ANCHORARRAY($I$118),$J$118:$J$120,,0)</f>
        <v>0.15520713803571259</v>
      </c>
      <c r="I122" s="20" t="s">
        <v>39</v>
      </c>
    </row>
    <row r="123" spans="1:36" x14ac:dyDescent="0.3">
      <c r="C123" s="20" t="s">
        <v>10</v>
      </c>
      <c r="D123" s="20" t="str">
        <f t="shared" si="40"/>
        <v>Serv</v>
      </c>
      <c r="E123" s="8">
        <f t="shared" si="41"/>
        <v>6.0052471445100188</v>
      </c>
      <c r="F123" s="8" cm="1">
        <f t="array" ref="F123">+IFERROR(E123/_xlfn.XLOOKUP(D123,_xlfn.ANCHORARRAY($I$118),$K$118:$K$120,,0),1)</f>
        <v>1</v>
      </c>
      <c r="G123" s="8" cm="1">
        <f t="array" ref="G123">+E123/_xlfn.XLOOKUP(D123,_xlfn.ANCHORARRAY($I$118),$J$118:$J$120,,0)</f>
        <v>0.33644250615412963</v>
      </c>
      <c r="I123" s="69">
        <v>1</v>
      </c>
    </row>
    <row r="124" spans="1:36" x14ac:dyDescent="0.3">
      <c r="C124" s="20" t="s">
        <v>11</v>
      </c>
      <c r="D124" s="20" t="str">
        <f t="shared" si="40"/>
        <v>Agr</v>
      </c>
      <c r="E124" s="8">
        <f t="shared" si="41"/>
        <v>12.508579633130559</v>
      </c>
      <c r="F124" s="8" cm="1">
        <f t="array" ref="F124">+IFERROR(E124/_xlfn.XLOOKUP(D124,_xlfn.ANCHORARRAY($I$118),$K$118:$K$120,,0),1)</f>
        <v>10.520711887002848</v>
      </c>
      <c r="G124" s="8" cm="1">
        <f t="array" ref="G124">+E124/_xlfn.XLOOKUP(D124,_xlfn.ANCHORARRAY($I$118),$J$118:$J$120,,0)</f>
        <v>0.45943240955968728</v>
      </c>
    </row>
    <row r="125" spans="1:36" x14ac:dyDescent="0.3">
      <c r="C125" s="20" t="s">
        <v>11</v>
      </c>
      <c r="D125" s="20" t="str">
        <f t="shared" si="40"/>
        <v>Ind</v>
      </c>
      <c r="E125" s="8">
        <f t="shared" si="41"/>
        <v>6.734995361250661</v>
      </c>
      <c r="F125" s="8" cm="1">
        <f t="array" ref="F125">+IFERROR(E125/_xlfn.XLOOKUP(D125,_xlfn.ANCHORARRAY($I$118),$K$118:$K$120,,0),1)</f>
        <v>1</v>
      </c>
      <c r="G125" s="8" cm="1">
        <f t="array" ref="G125">+E125/_xlfn.XLOOKUP(D125,_xlfn.ANCHORARRAY($I$118),$J$118:$J$120,,0)</f>
        <v>0.40821001434826698</v>
      </c>
    </row>
    <row r="126" spans="1:36" x14ac:dyDescent="0.3">
      <c r="C126" s="20" t="s">
        <v>11</v>
      </c>
      <c r="D126" s="20" t="str">
        <f t="shared" si="40"/>
        <v>Serv</v>
      </c>
      <c r="E126" s="12">
        <f t="shared" si="41"/>
        <v>6.3501380362369702</v>
      </c>
      <c r="F126" s="12" cm="1">
        <f t="array" ref="F126">+IFERROR(E126/_xlfn.XLOOKUP(D126,_xlfn.ANCHORARRAY($I$118),$K$118:$K$120,,0),1)</f>
        <v>1</v>
      </c>
      <c r="G126" s="12" cm="1">
        <f t="array" ref="G126">+E126/_xlfn.XLOOKUP(D126,_xlfn.ANCHORARRAY($I$118),$J$118:$J$120,,0)</f>
        <v>0.35576493421913069</v>
      </c>
    </row>
    <row r="127" spans="1:36" x14ac:dyDescent="0.3">
      <c r="E127" s="19">
        <f>SUM(E118:E126)</f>
        <v>61.57425970714511</v>
      </c>
      <c r="G127" s="19">
        <f>SUM(G118:G126)</f>
        <v>3</v>
      </c>
    </row>
    <row r="128" spans="1:36" ht="15" thickBot="1" x14ac:dyDescent="0.35">
      <c r="A128" s="64"/>
      <c r="E128" s="19"/>
      <c r="G128" s="19"/>
    </row>
    <row r="129" spans="1:24" ht="15" thickBot="1" x14ac:dyDescent="0.35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  <c r="O129" s="109" t="s">
        <v>59</v>
      </c>
      <c r="P129" s="110" t="s">
        <v>1</v>
      </c>
      <c r="Q129" s="110" t="s">
        <v>1</v>
      </c>
      <c r="R129" s="110" t="s">
        <v>1</v>
      </c>
      <c r="S129" s="110" t="s">
        <v>10</v>
      </c>
      <c r="T129" s="110" t="s">
        <v>10</v>
      </c>
      <c r="U129" s="110" t="s">
        <v>10</v>
      </c>
      <c r="V129" s="110" t="s">
        <v>11</v>
      </c>
      <c r="W129" s="110" t="s">
        <v>11</v>
      </c>
      <c r="X129" s="111" t="s">
        <v>11</v>
      </c>
    </row>
    <row r="130" spans="1:24" ht="15" thickBot="1" x14ac:dyDescent="0.35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  <c r="O130" s="112" t="s">
        <v>55</v>
      </c>
      <c r="P130" s="49" t="s">
        <v>51</v>
      </c>
      <c r="Q130" s="49" t="s">
        <v>52</v>
      </c>
      <c r="R130" s="49" t="s">
        <v>53</v>
      </c>
      <c r="S130" s="49" t="s">
        <v>51</v>
      </c>
      <c r="T130" s="49" t="s">
        <v>52</v>
      </c>
      <c r="U130" s="49" t="s">
        <v>53</v>
      </c>
      <c r="V130" s="49" t="s">
        <v>51</v>
      </c>
      <c r="W130" s="49" t="s">
        <v>52</v>
      </c>
      <c r="X130" s="113" t="s">
        <v>53</v>
      </c>
    </row>
    <row r="131" spans="1:24" ht="15" thickBot="1" x14ac:dyDescent="0.35">
      <c r="D131" s="28" t="str" cm="1">
        <f t="array" ref="D131:D133">+_xlfn.UNIQUE(D118:D126)</f>
        <v>Agr</v>
      </c>
      <c r="E131" s="1">
        <f t="shared" ref="E131:M133" si="42">+SUMIF($D$106:$D$114,$D131,E$106:E$114)</f>
        <v>0.81196667610428541</v>
      </c>
      <c r="F131" s="2">
        <f t="shared" si="42"/>
        <v>0</v>
      </c>
      <c r="G131" s="2">
        <f t="shared" si="42"/>
        <v>0</v>
      </c>
      <c r="H131" s="2">
        <f t="shared" si="42"/>
        <v>0</v>
      </c>
      <c r="I131" s="2">
        <f t="shared" si="42"/>
        <v>0</v>
      </c>
      <c r="J131" s="2">
        <f t="shared" si="42"/>
        <v>0.18099358910384122</v>
      </c>
      <c r="K131" s="2">
        <f t="shared" si="42"/>
        <v>0</v>
      </c>
      <c r="L131" s="2">
        <f t="shared" si="42"/>
        <v>0.13752036207383345</v>
      </c>
      <c r="M131" s="3">
        <f t="shared" si="42"/>
        <v>5.8467398999749731E-2</v>
      </c>
      <c r="O131" s="104">
        <f>+$L118*$I$123</f>
        <v>1</v>
      </c>
      <c r="P131" s="105">
        <f>+$O131*E131</f>
        <v>0.81196667610428541</v>
      </c>
      <c r="Q131" s="105">
        <f t="shared" ref="Q131:X131" si="43">+$O131*F131</f>
        <v>0</v>
      </c>
      <c r="R131" s="105">
        <f t="shared" si="43"/>
        <v>0</v>
      </c>
      <c r="S131" s="105">
        <f t="shared" si="43"/>
        <v>0</v>
      </c>
      <c r="T131" s="105">
        <f t="shared" si="43"/>
        <v>0</v>
      </c>
      <c r="U131" s="105">
        <f t="shared" si="43"/>
        <v>0.18099358910384122</v>
      </c>
      <c r="V131" s="105">
        <f t="shared" si="43"/>
        <v>0</v>
      </c>
      <c r="W131" s="105">
        <f t="shared" si="43"/>
        <v>0.13752036207383345</v>
      </c>
      <c r="X131" s="106">
        <f t="shared" si="43"/>
        <v>5.8467398999749731E-2</v>
      </c>
    </row>
    <row r="132" spans="1:24" x14ac:dyDescent="0.3">
      <c r="D132" s="25" t="str">
        <v>Ind</v>
      </c>
      <c r="E132" s="5">
        <f t="shared" si="42"/>
        <v>0</v>
      </c>
      <c r="F132" s="6">
        <f t="shared" si="42"/>
        <v>0</v>
      </c>
      <c r="G132" s="6">
        <f t="shared" si="42"/>
        <v>0</v>
      </c>
      <c r="H132" s="6">
        <f t="shared" si="42"/>
        <v>0</v>
      </c>
      <c r="I132" s="6">
        <f t="shared" si="42"/>
        <v>0</v>
      </c>
      <c r="J132" s="6">
        <f t="shared" si="42"/>
        <v>0</v>
      </c>
      <c r="K132" s="6">
        <f t="shared" si="42"/>
        <v>0</v>
      </c>
      <c r="L132" s="6">
        <f t="shared" si="42"/>
        <v>0</v>
      </c>
      <c r="M132" s="7">
        <f t="shared" si="42"/>
        <v>0</v>
      </c>
      <c r="P132" s="108" cm="1">
        <f t="array" ref="P132:X134">+MMULT(_xlfn.ANCHORARRAY(S118),$P$131:$X$131)</f>
        <v>0</v>
      </c>
      <c r="Q132" s="108">
        <v>0</v>
      </c>
      <c r="R132" s="108">
        <v>0</v>
      </c>
      <c r="S132" s="108">
        <v>0</v>
      </c>
      <c r="T132" s="108">
        <v>0</v>
      </c>
      <c r="U132" s="108">
        <v>0</v>
      </c>
      <c r="V132" s="108">
        <v>0</v>
      </c>
      <c r="W132" s="108">
        <v>0</v>
      </c>
      <c r="X132" s="108">
        <v>0</v>
      </c>
    </row>
    <row r="133" spans="1:24" x14ac:dyDescent="0.3">
      <c r="D133" s="25" t="str">
        <v>Serv</v>
      </c>
      <c r="E133" s="9">
        <f t="shared" si="42"/>
        <v>0</v>
      </c>
      <c r="F133" s="10">
        <f t="shared" si="42"/>
        <v>0</v>
      </c>
      <c r="G133" s="10">
        <f t="shared" si="42"/>
        <v>0</v>
      </c>
      <c r="H133" s="10">
        <f t="shared" si="42"/>
        <v>0</v>
      </c>
      <c r="I133" s="10">
        <f t="shared" si="42"/>
        <v>0</v>
      </c>
      <c r="J133" s="10">
        <f t="shared" si="42"/>
        <v>0</v>
      </c>
      <c r="K133" s="10">
        <f t="shared" si="42"/>
        <v>0</v>
      </c>
      <c r="L133" s="10">
        <f t="shared" si="42"/>
        <v>0</v>
      </c>
      <c r="M133" s="11">
        <f t="shared" si="42"/>
        <v>0</v>
      </c>
      <c r="P133" s="102">
        <v>0.43892286961952337</v>
      </c>
      <c r="Q133" s="102">
        <v>0</v>
      </c>
      <c r="R133" s="102">
        <v>0</v>
      </c>
      <c r="S133" s="102">
        <v>0</v>
      </c>
      <c r="T133" s="102">
        <v>0</v>
      </c>
      <c r="U133" s="102">
        <v>9.7839268347007485E-2</v>
      </c>
      <c r="V133" s="102">
        <v>0</v>
      </c>
      <c r="W133" s="102">
        <v>7.4339050762731507E-2</v>
      </c>
      <c r="X133" s="102">
        <v>3.1605580996607062E-2</v>
      </c>
    </row>
    <row r="134" spans="1:24" ht="15" thickBot="1" x14ac:dyDescent="0.35">
      <c r="P134" s="107">
        <v>0.37304380648476199</v>
      </c>
      <c r="Q134" s="107">
        <v>0</v>
      </c>
      <c r="R134" s="107">
        <v>0</v>
      </c>
      <c r="S134" s="107">
        <v>0</v>
      </c>
      <c r="T134" s="107">
        <v>0</v>
      </c>
      <c r="U134" s="107">
        <v>8.3154320756833738E-2</v>
      </c>
      <c r="V134" s="107">
        <v>0</v>
      </c>
      <c r="W134" s="107">
        <v>6.318131131110194E-2</v>
      </c>
      <c r="X134" s="107">
        <v>2.6861818003142669E-2</v>
      </c>
    </row>
    <row r="135" spans="1:24" ht="15" thickBot="1" x14ac:dyDescent="0.35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  <c r="O135" s="104">
        <f>+$L119*$I$123</f>
        <v>1</v>
      </c>
      <c r="P135" s="105">
        <f t="shared" ref="P135:X135" si="44">+$O135*E132</f>
        <v>0</v>
      </c>
      <c r="Q135" s="105">
        <f t="shared" si="44"/>
        <v>0</v>
      </c>
      <c r="R135" s="105">
        <f t="shared" si="44"/>
        <v>0</v>
      </c>
      <c r="S135" s="105">
        <f t="shared" si="44"/>
        <v>0</v>
      </c>
      <c r="T135" s="105">
        <f t="shared" si="44"/>
        <v>0</v>
      </c>
      <c r="U135" s="105">
        <f t="shared" si="44"/>
        <v>0</v>
      </c>
      <c r="V135" s="105">
        <f t="shared" si="44"/>
        <v>0</v>
      </c>
      <c r="W135" s="105">
        <f t="shared" si="44"/>
        <v>0</v>
      </c>
      <c r="X135" s="106">
        <f t="shared" si="44"/>
        <v>0</v>
      </c>
    </row>
    <row r="136" spans="1:24" ht="15" thickBot="1" x14ac:dyDescent="0.35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  <c r="P136" s="103" cm="1">
        <f t="array" ref="P136:X138">+MMULT(_xlfn.ANCHORARRAY(T118),$P$135:$X$135)</f>
        <v>0</v>
      </c>
      <c r="Q136" s="103">
        <v>0</v>
      </c>
      <c r="R136" s="103">
        <v>0</v>
      </c>
      <c r="S136" s="103">
        <v>0</v>
      </c>
      <c r="T136" s="103">
        <v>0</v>
      </c>
      <c r="U136" s="103">
        <v>0</v>
      </c>
      <c r="V136" s="103">
        <v>0</v>
      </c>
      <c r="W136" s="103">
        <v>0</v>
      </c>
      <c r="X136" s="103">
        <v>0</v>
      </c>
    </row>
    <row r="137" spans="1:24" x14ac:dyDescent="0.3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0</v>
      </c>
      <c r="G137" s="2" cm="1">
        <f t="array" ref="G137">+$I$123*$G118*_xlfn.XLOOKUP($D137,_xlfn.ANCHORARRAY($I$118),$L$118:$L$120,,0)*_xlfn.XLOOKUP($D137,$D$131:$D$133,G$131:G$133,,0)</f>
        <v>0</v>
      </c>
      <c r="H137" s="2" cm="1">
        <f t="array" ref="H137">+$I$123*$G118*_xlfn.XLOOKUP($D137,_xlfn.ANCHORARRAY($I$118),$L$118:$L$120,,0)*_xlfn.XLOOKUP($D137,$D$131:$D$133,H$131:H$133,,0)</f>
        <v>0</v>
      </c>
      <c r="I137" s="2" cm="1">
        <f t="array" ref="I137">+$I$123*$G118*_xlfn.XLOOKUP($D137,_xlfn.ANCHORARRAY($I$118),$L$118:$L$120,,0)*_xlfn.XLOOKUP($D137,$D$131:$D$133,I$131:I$133,,0)</f>
        <v>0</v>
      </c>
      <c r="J137" s="2" cm="1">
        <f t="array" ref="J137">+$I$123*$G118*_xlfn.XLOOKUP($D137,_xlfn.ANCHORARRAY($I$118),$L$118:$L$120,,0)*_xlfn.XLOOKUP($D137,$D$131:$D$133,J$131:J$133,,0)</f>
        <v>0</v>
      </c>
      <c r="K137" s="2" cm="1">
        <f t="array" ref="K137">+$I$123*$G118*_xlfn.XLOOKUP($D137,_xlfn.ANCHORARRAY($I$118),$L$118:$L$120,,0)*_xlfn.XLOOKUP($D137,$D$131:$D$133,K$131:K$133,,0)</f>
        <v>0</v>
      </c>
      <c r="L137" s="2" cm="1">
        <f t="array" ref="L137">+$I$123*$G118*_xlfn.XLOOKUP($D137,_xlfn.ANCHORARRAY($I$118),$L$118:$L$120,,0)*_xlfn.XLOOKUP($D137,$D$131:$D$133,L$131:L$133,,0)</f>
        <v>0</v>
      </c>
      <c r="M137" s="3" cm="1">
        <f t="array" ref="M137">+$I$123*$G118*_xlfn.XLOOKUP($D137,_xlfn.ANCHORARRAY($I$118),$L$118:$L$120,,0)*_xlfn.XLOOKUP($D137,$D$131:$D$133,M$131:M$133,,0)</f>
        <v>0</v>
      </c>
      <c r="P137" s="101">
        <v>0</v>
      </c>
      <c r="Q137" s="101">
        <v>0</v>
      </c>
      <c r="R137" s="101">
        <v>0</v>
      </c>
      <c r="S137" s="101">
        <v>0</v>
      </c>
      <c r="T137" s="101">
        <v>0</v>
      </c>
      <c r="U137" s="101">
        <v>0</v>
      </c>
      <c r="V137" s="101">
        <v>0</v>
      </c>
      <c r="W137" s="101">
        <v>0</v>
      </c>
      <c r="X137" s="101">
        <v>0</v>
      </c>
    </row>
    <row r="138" spans="1:24" ht="15" thickBot="1" x14ac:dyDescent="0.35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</v>
      </c>
      <c r="F138" s="6" cm="1">
        <f t="array" ref="F138">+$I$123*$G119*_xlfn.XLOOKUP($D138,_xlfn.ANCHORARRAY($I$118),$L$118:$L$120,,0)*_xlfn.XLOOKUP($D138,$D$131:$D$133,F$131:F$133,,0)</f>
        <v>0</v>
      </c>
      <c r="G138" s="6" cm="1">
        <f t="array" ref="G138">+$I$123*$G119*_xlfn.XLOOKUP($D138,_xlfn.ANCHORARRAY($I$118),$L$118:$L$120,,0)*_xlfn.XLOOKUP($D138,$D$131:$D$133,G$131:G$133,,0)</f>
        <v>0</v>
      </c>
      <c r="H138" s="6" cm="1">
        <f t="array" ref="H138">+$I$123*$G119*_xlfn.XLOOKUP($D138,_xlfn.ANCHORARRAY($I$118),$L$118:$L$120,,0)*_xlfn.XLOOKUP($D138,$D$131:$D$133,H$131:H$133,,0)</f>
        <v>0</v>
      </c>
      <c r="I138" s="6" cm="1">
        <f t="array" ref="I138">+$I$123*$G119*_xlfn.XLOOKUP($D138,_xlfn.ANCHORARRAY($I$118),$L$118:$L$120,,0)*_xlfn.XLOOKUP($D138,$D$131:$D$133,I$131:I$133,,0)</f>
        <v>0</v>
      </c>
      <c r="J138" s="6" cm="1">
        <f t="array" ref="J138">+$I$123*$G119*_xlfn.XLOOKUP($D138,_xlfn.ANCHORARRAY($I$118),$L$118:$L$120,,0)*_xlfn.XLOOKUP($D138,$D$131:$D$133,J$131:J$133,,0)</f>
        <v>0</v>
      </c>
      <c r="K138" s="6" cm="1">
        <f t="array" ref="K138">+$I$123*$G119*_xlfn.XLOOKUP($D138,_xlfn.ANCHORARRAY($I$118),$L$118:$L$120,,0)*_xlfn.XLOOKUP($D138,$D$131:$D$133,K$131:K$133,,0)</f>
        <v>0</v>
      </c>
      <c r="L138" s="6" cm="1">
        <f t="array" ref="L138">+$I$123*$G119*_xlfn.XLOOKUP($D138,_xlfn.ANCHORARRAY($I$118),$L$118:$L$120,,0)*_xlfn.XLOOKUP($D138,$D$131:$D$133,L$131:L$133,,0)</f>
        <v>0</v>
      </c>
      <c r="M138" s="7" cm="1">
        <f t="array" ref="M138">+$I$123*$G119*_xlfn.XLOOKUP($D138,_xlfn.ANCHORARRAY($I$118),$L$118:$L$120,,0)*_xlfn.XLOOKUP($D138,$D$131:$D$133,M$131:M$133,,0)</f>
        <v>0</v>
      </c>
      <c r="N138" s="18"/>
      <c r="P138" s="101">
        <v>0</v>
      </c>
      <c r="Q138" s="101">
        <v>0</v>
      </c>
      <c r="R138" s="101">
        <v>0</v>
      </c>
      <c r="S138" s="101">
        <v>0</v>
      </c>
      <c r="T138" s="101">
        <v>0</v>
      </c>
      <c r="U138" s="101">
        <v>0</v>
      </c>
      <c r="V138" s="101">
        <v>0</v>
      </c>
      <c r="W138" s="101">
        <v>0</v>
      </c>
      <c r="X138" s="101">
        <v>0</v>
      </c>
    </row>
    <row r="139" spans="1:24" ht="15" thickBot="1" x14ac:dyDescent="0.35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</v>
      </c>
      <c r="F139" s="6" cm="1">
        <f t="array" ref="F139">+$I$123*$G120*_xlfn.XLOOKUP($D139,_xlfn.ANCHORARRAY($I$118),$L$118:$L$120,,0)*_xlfn.XLOOKUP($D139,$D$131:$D$133,F$131:F$133,,0)</f>
        <v>0</v>
      </c>
      <c r="G139" s="6" cm="1">
        <f t="array" ref="G139">+$I$123*$G120*_xlfn.XLOOKUP($D139,_xlfn.ANCHORARRAY($I$118),$L$118:$L$120,,0)*_xlfn.XLOOKUP($D139,$D$131:$D$133,G$131:G$133,,0)</f>
        <v>0</v>
      </c>
      <c r="H139" s="6" cm="1">
        <f t="array" ref="H139">+$I$123*$G120*_xlfn.XLOOKUP($D139,_xlfn.ANCHORARRAY($I$118),$L$118:$L$120,,0)*_xlfn.XLOOKUP($D139,$D$131:$D$133,H$131:H$133,,0)</f>
        <v>0</v>
      </c>
      <c r="I139" s="6" cm="1">
        <f t="array" ref="I139">+$I$123*$G120*_xlfn.XLOOKUP($D139,_xlfn.ANCHORARRAY($I$118),$L$118:$L$120,,0)*_xlfn.XLOOKUP($D139,$D$131:$D$133,I$131:I$133,,0)</f>
        <v>0</v>
      </c>
      <c r="J139" s="6" cm="1">
        <f t="array" ref="J139">+$I$123*$G120*_xlfn.XLOOKUP($D139,_xlfn.ANCHORARRAY($I$118),$L$118:$L$120,,0)*_xlfn.XLOOKUP($D139,$D$131:$D$133,J$131:J$133,,0)</f>
        <v>0</v>
      </c>
      <c r="K139" s="6" cm="1">
        <f t="array" ref="K139">+$I$123*$G120*_xlfn.XLOOKUP($D139,_xlfn.ANCHORARRAY($I$118),$L$118:$L$120,,0)*_xlfn.XLOOKUP($D139,$D$131:$D$133,K$131:K$133,,0)</f>
        <v>0</v>
      </c>
      <c r="L139" s="6" cm="1">
        <f t="array" ref="L139">+$I$123*$G120*_xlfn.XLOOKUP($D139,_xlfn.ANCHORARRAY($I$118),$L$118:$L$120,,0)*_xlfn.XLOOKUP($D139,$D$131:$D$133,L$131:L$133,,0)</f>
        <v>0</v>
      </c>
      <c r="M139" s="7" cm="1">
        <f t="array" ref="M139">+$I$123*$G120*_xlfn.XLOOKUP($D139,_xlfn.ANCHORARRAY($I$118),$L$118:$L$120,,0)*_xlfn.XLOOKUP($D139,$D$131:$D$133,M$131:M$133,,0)</f>
        <v>0</v>
      </c>
      <c r="N139" s="18"/>
      <c r="O139" s="104">
        <f>+$L120*$I$123</f>
        <v>1</v>
      </c>
      <c r="P139" s="105">
        <f t="shared" ref="P139:X139" si="45">+$O139*E133</f>
        <v>0</v>
      </c>
      <c r="Q139" s="105">
        <f t="shared" si="45"/>
        <v>0</v>
      </c>
      <c r="R139" s="105">
        <f t="shared" si="45"/>
        <v>0</v>
      </c>
      <c r="S139" s="105">
        <f t="shared" si="45"/>
        <v>0</v>
      </c>
      <c r="T139" s="105">
        <f t="shared" si="45"/>
        <v>0</v>
      </c>
      <c r="U139" s="105">
        <f t="shared" si="45"/>
        <v>0</v>
      </c>
      <c r="V139" s="105">
        <f t="shared" si="45"/>
        <v>0</v>
      </c>
      <c r="W139" s="105">
        <f t="shared" si="45"/>
        <v>0</v>
      </c>
      <c r="X139" s="106">
        <f t="shared" si="45"/>
        <v>0</v>
      </c>
    </row>
    <row r="140" spans="1:24" x14ac:dyDescent="0.3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0.43892286961952337</v>
      </c>
      <c r="F140" s="6" cm="1">
        <f t="array" ref="F140">+$I$123*$G121*_xlfn.XLOOKUP($D140,_xlfn.ANCHORARRAY($I$118),$L$118:$L$120,,0)*_xlfn.XLOOKUP($D140,$D$131:$D$133,F$131:F$133,,0)</f>
        <v>0</v>
      </c>
      <c r="G140" s="6" cm="1">
        <f t="array" ref="G140">+$I$123*$G121*_xlfn.XLOOKUP($D140,_xlfn.ANCHORARRAY($I$118),$L$118:$L$120,,0)*_xlfn.XLOOKUP($D140,$D$131:$D$133,G$131:G$133,,0)</f>
        <v>0</v>
      </c>
      <c r="H140" s="6" cm="1">
        <f t="array" ref="H140">+$I$123*$G121*_xlfn.XLOOKUP($D140,_xlfn.ANCHORARRAY($I$118),$L$118:$L$120,,0)*_xlfn.XLOOKUP($D140,$D$131:$D$133,H$131:H$133,,0)</f>
        <v>0</v>
      </c>
      <c r="I140" s="6" cm="1">
        <f t="array" ref="I140">+$I$123*$G121*_xlfn.XLOOKUP($D140,_xlfn.ANCHORARRAY($I$118),$L$118:$L$120,,0)*_xlfn.XLOOKUP($D140,$D$131:$D$133,I$131:I$133,,0)</f>
        <v>0</v>
      </c>
      <c r="J140" s="6" cm="1">
        <f t="array" ref="J140">+$I$123*$G121*_xlfn.XLOOKUP($D140,_xlfn.ANCHORARRAY($I$118),$L$118:$L$120,,0)*_xlfn.XLOOKUP($D140,$D$131:$D$133,J$131:J$133,,0)</f>
        <v>9.7839268347007485E-2</v>
      </c>
      <c r="K140" s="6" cm="1">
        <f t="array" ref="K140">+$I$123*$G121*_xlfn.XLOOKUP($D140,_xlfn.ANCHORARRAY($I$118),$L$118:$L$120,,0)*_xlfn.XLOOKUP($D140,$D$131:$D$133,K$131:K$133,,0)</f>
        <v>0</v>
      </c>
      <c r="L140" s="6" cm="1">
        <f t="array" ref="L140">+$I$123*$G121*_xlfn.XLOOKUP($D140,_xlfn.ANCHORARRAY($I$118),$L$118:$L$120,,0)*_xlfn.XLOOKUP($D140,$D$131:$D$133,L$131:L$133,,0)</f>
        <v>7.4339050762731507E-2</v>
      </c>
      <c r="M140" s="7" cm="1">
        <f t="array" ref="M140">+$I$123*$G121*_xlfn.XLOOKUP($D140,_xlfn.ANCHORARRAY($I$118),$L$118:$L$120,,0)*_xlfn.XLOOKUP($D140,$D$131:$D$133,M$131:M$133,,0)</f>
        <v>3.1605580996607062E-2</v>
      </c>
      <c r="N140" s="18"/>
      <c r="P140" s="103" cm="1">
        <f t="array" ref="P140:X142">+MMULT(_xlfn.ANCHORARRAY(U118),$P$139:$X$139)</f>
        <v>0</v>
      </c>
      <c r="Q140" s="103">
        <v>0</v>
      </c>
      <c r="R140" s="103">
        <v>0</v>
      </c>
      <c r="S140" s="103">
        <v>0</v>
      </c>
      <c r="T140" s="103">
        <v>0</v>
      </c>
      <c r="U140" s="103">
        <v>0</v>
      </c>
      <c r="V140" s="103">
        <v>0</v>
      </c>
      <c r="W140" s="103">
        <v>0</v>
      </c>
      <c r="X140" s="103">
        <v>0</v>
      </c>
    </row>
    <row r="141" spans="1:24" x14ac:dyDescent="0.3">
      <c r="C141" s="20" t="s">
        <v>10</v>
      </c>
      <c r="D141" s="25" t="str">
        <f t="shared" ref="D141:D145" si="46">+D138</f>
        <v>Ind</v>
      </c>
      <c r="E141" s="5" cm="1">
        <f t="array" ref="E141">+$I$123*$G122*_xlfn.XLOOKUP($D141,_xlfn.ANCHORARRAY($I$118),$L$118:$L$120,,0)*_xlfn.XLOOKUP($D141,$D$131:$D$133,E$131:E$133,,0)</f>
        <v>0</v>
      </c>
      <c r="F141" s="6" cm="1">
        <f t="array" ref="F141">+$I$123*$G122*_xlfn.XLOOKUP($D141,_xlfn.ANCHORARRAY($I$118),$L$118:$L$120,,0)*_xlfn.XLOOKUP($D141,$D$131:$D$133,F$131:F$133,,0)</f>
        <v>0</v>
      </c>
      <c r="G141" s="6" cm="1">
        <f t="array" ref="G141">+$I$123*$G122*_xlfn.XLOOKUP($D141,_xlfn.ANCHORARRAY($I$118),$L$118:$L$120,,0)*_xlfn.XLOOKUP($D141,$D$131:$D$133,G$131:G$133,,0)</f>
        <v>0</v>
      </c>
      <c r="H141" s="6" cm="1">
        <f t="array" ref="H141">+$I$123*$G122*_xlfn.XLOOKUP($D141,_xlfn.ANCHORARRAY($I$118),$L$118:$L$120,,0)*_xlfn.XLOOKUP($D141,$D$131:$D$133,H$131:H$133,,0)</f>
        <v>0</v>
      </c>
      <c r="I141" s="6" cm="1">
        <f t="array" ref="I141">+$I$123*$G122*_xlfn.XLOOKUP($D141,_xlfn.ANCHORARRAY($I$118),$L$118:$L$120,,0)*_xlfn.XLOOKUP($D141,$D$131:$D$133,I$131:I$133,,0)</f>
        <v>0</v>
      </c>
      <c r="J141" s="6" cm="1">
        <f t="array" ref="J141">+$I$123*$G122*_xlfn.XLOOKUP($D141,_xlfn.ANCHORARRAY($I$118),$L$118:$L$120,,0)*_xlfn.XLOOKUP($D141,$D$131:$D$133,J$131:J$133,,0)</f>
        <v>0</v>
      </c>
      <c r="K141" s="6" cm="1">
        <f t="array" ref="K141">+$I$123*$G122*_xlfn.XLOOKUP($D141,_xlfn.ANCHORARRAY($I$118),$L$118:$L$120,,0)*_xlfn.XLOOKUP($D141,$D$131:$D$133,K$131:K$133,,0)</f>
        <v>0</v>
      </c>
      <c r="L141" s="6" cm="1">
        <f t="array" ref="L141">+$I$123*$G122*_xlfn.XLOOKUP($D141,_xlfn.ANCHORARRAY($I$118),$L$118:$L$120,,0)*_xlfn.XLOOKUP($D141,$D$131:$D$133,L$131:L$133,,0)</f>
        <v>0</v>
      </c>
      <c r="M141" s="7" cm="1">
        <f t="array" ref="M141">+$I$123*$G122*_xlfn.XLOOKUP($D141,_xlfn.ANCHORARRAY($I$118),$L$118:$L$120,,0)*_xlfn.XLOOKUP($D141,$D$131:$D$133,M$131:M$133,,0)</f>
        <v>0</v>
      </c>
      <c r="N141" s="18"/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</row>
    <row r="142" spans="1:24" x14ac:dyDescent="0.3">
      <c r="C142" s="20" t="s">
        <v>10</v>
      </c>
      <c r="D142" s="25" t="str">
        <f t="shared" si="46"/>
        <v>Serv</v>
      </c>
      <c r="E142" s="5" cm="1">
        <f t="array" ref="E142">+$I$123*$G123*_xlfn.XLOOKUP($D142,_xlfn.ANCHORARRAY($I$118),$L$118:$L$120,,0)*_xlfn.XLOOKUP($D142,$D$131:$D$133,E$131:E$133,,0)</f>
        <v>0</v>
      </c>
      <c r="F142" s="6" cm="1">
        <f t="array" ref="F142">+$I$123*$G123*_xlfn.XLOOKUP($D142,_xlfn.ANCHORARRAY($I$118),$L$118:$L$120,,0)*_xlfn.XLOOKUP($D142,$D$131:$D$133,F$131:F$133,,0)</f>
        <v>0</v>
      </c>
      <c r="G142" s="6" cm="1">
        <f t="array" ref="G142">+$I$123*$G123*_xlfn.XLOOKUP($D142,_xlfn.ANCHORARRAY($I$118),$L$118:$L$120,,0)*_xlfn.XLOOKUP($D142,$D$131:$D$133,G$131:G$133,,0)</f>
        <v>0</v>
      </c>
      <c r="H142" s="6" cm="1">
        <f t="array" ref="H142">+$I$123*$G123*_xlfn.XLOOKUP($D142,_xlfn.ANCHORARRAY($I$118),$L$118:$L$120,,0)*_xlfn.XLOOKUP($D142,$D$131:$D$133,H$131:H$133,,0)</f>
        <v>0</v>
      </c>
      <c r="I142" s="6" cm="1">
        <f t="array" ref="I142">+$I$123*$G123*_xlfn.XLOOKUP($D142,_xlfn.ANCHORARRAY($I$118),$L$118:$L$120,,0)*_xlfn.XLOOKUP($D142,$D$131:$D$133,I$131:I$133,,0)</f>
        <v>0</v>
      </c>
      <c r="J142" s="6" cm="1">
        <f t="array" ref="J142">+$I$123*$G123*_xlfn.XLOOKUP($D142,_xlfn.ANCHORARRAY($I$118),$L$118:$L$120,,0)*_xlfn.XLOOKUP($D142,$D$131:$D$133,J$131:J$133,,0)</f>
        <v>0</v>
      </c>
      <c r="K142" s="6" cm="1">
        <f t="array" ref="K142">+$I$123*$G123*_xlfn.XLOOKUP($D142,_xlfn.ANCHORARRAY($I$118),$L$118:$L$120,,0)*_xlfn.XLOOKUP($D142,$D$131:$D$133,K$131:K$133,,0)</f>
        <v>0</v>
      </c>
      <c r="L142" s="6" cm="1">
        <f t="array" ref="L142">+$I$123*$G123*_xlfn.XLOOKUP($D142,_xlfn.ANCHORARRAY($I$118),$L$118:$L$120,,0)*_xlfn.XLOOKUP($D142,$D$131:$D$133,L$131:L$133,,0)</f>
        <v>0</v>
      </c>
      <c r="M142" s="7" cm="1">
        <f t="array" ref="M142">+$I$123*$G123*_xlfn.XLOOKUP($D142,_xlfn.ANCHORARRAY($I$118),$L$118:$L$120,,0)*_xlfn.XLOOKUP($D142,$D$131:$D$133,M$131:M$133,,0)</f>
        <v>0</v>
      </c>
      <c r="N142" s="18"/>
      <c r="P142" s="101">
        <v>0</v>
      </c>
      <c r="Q142" s="101">
        <v>0</v>
      </c>
      <c r="R142" s="101">
        <v>0</v>
      </c>
      <c r="S142" s="101">
        <v>0</v>
      </c>
      <c r="T142" s="101">
        <v>0</v>
      </c>
      <c r="U142" s="101">
        <v>0</v>
      </c>
      <c r="V142" s="101">
        <v>0</v>
      </c>
      <c r="W142" s="101">
        <v>0</v>
      </c>
      <c r="X142" s="101">
        <v>0</v>
      </c>
    </row>
    <row r="143" spans="1:24" x14ac:dyDescent="0.3">
      <c r="C143" s="20" t="s">
        <v>11</v>
      </c>
      <c r="D143" s="25" t="str">
        <f t="shared" si="46"/>
        <v>Agr</v>
      </c>
      <c r="E143" s="5" cm="1">
        <f t="array" ref="E143">+$I$123*$G124*_xlfn.XLOOKUP($D143,_xlfn.ANCHORARRAY($I$118),$L$118:$L$120,,0)*_xlfn.XLOOKUP($D143,$D$131:$D$133,E$131:E$133,,0)</f>
        <v>0.37304380648476199</v>
      </c>
      <c r="F143" s="6" cm="1">
        <f t="array" ref="F143">+$I$123*$G124*_xlfn.XLOOKUP($D143,_xlfn.ANCHORARRAY($I$118),$L$118:$L$120,,0)*_xlfn.XLOOKUP($D143,$D$131:$D$133,F$131:F$133,,0)</f>
        <v>0</v>
      </c>
      <c r="G143" s="6" cm="1">
        <f t="array" ref="G143">+$I$123*$G124*_xlfn.XLOOKUP($D143,_xlfn.ANCHORARRAY($I$118),$L$118:$L$120,,0)*_xlfn.XLOOKUP($D143,$D$131:$D$133,G$131:G$133,,0)</f>
        <v>0</v>
      </c>
      <c r="H143" s="6" cm="1">
        <f t="array" ref="H143">+$I$123*$G124*_xlfn.XLOOKUP($D143,_xlfn.ANCHORARRAY($I$118),$L$118:$L$120,,0)*_xlfn.XLOOKUP($D143,$D$131:$D$133,H$131:H$133,,0)</f>
        <v>0</v>
      </c>
      <c r="I143" s="6" cm="1">
        <f t="array" ref="I143">+$I$123*$G124*_xlfn.XLOOKUP($D143,_xlfn.ANCHORARRAY($I$118),$L$118:$L$120,,0)*_xlfn.XLOOKUP($D143,$D$131:$D$133,I$131:I$133,,0)</f>
        <v>0</v>
      </c>
      <c r="J143" s="6" cm="1">
        <f t="array" ref="J143">+$I$123*$G124*_xlfn.XLOOKUP($D143,_xlfn.ANCHORARRAY($I$118),$L$118:$L$120,,0)*_xlfn.XLOOKUP($D143,$D$131:$D$133,J$131:J$133,,0)</f>
        <v>8.3154320756833738E-2</v>
      </c>
      <c r="K143" s="6" cm="1">
        <f t="array" ref="K143">+$I$123*$G124*_xlfn.XLOOKUP($D143,_xlfn.ANCHORARRAY($I$118),$L$118:$L$120,,0)*_xlfn.XLOOKUP($D143,$D$131:$D$133,K$131:K$133,,0)</f>
        <v>0</v>
      </c>
      <c r="L143" s="6" cm="1">
        <f t="array" ref="L143">+$I$123*$G124*_xlfn.XLOOKUP($D143,_xlfn.ANCHORARRAY($I$118),$L$118:$L$120,,0)*_xlfn.XLOOKUP($D143,$D$131:$D$133,L$131:L$133,,0)</f>
        <v>6.318131131110194E-2</v>
      </c>
      <c r="M143" s="7" cm="1">
        <f t="array" ref="M143">+$I$123*$G124*_xlfn.XLOOKUP($D143,_xlfn.ANCHORARRAY($I$118),$L$118:$L$120,,0)*_xlfn.XLOOKUP($D143,$D$131:$D$133,M$131:M$133,,0)</f>
        <v>2.6861818003142669E-2</v>
      </c>
      <c r="N143" s="18"/>
    </row>
    <row r="144" spans="1:24" x14ac:dyDescent="0.3">
      <c r="C144" s="20" t="s">
        <v>11</v>
      </c>
      <c r="D144" s="25" t="str">
        <f t="shared" si="46"/>
        <v>Ind</v>
      </c>
      <c r="E144" s="5" cm="1">
        <f t="array" ref="E144">+$I$123*$G125*_xlfn.XLOOKUP($D144,_xlfn.ANCHORARRAY($I$118),$L$118:$L$120,,0)*_xlfn.XLOOKUP($D144,$D$131:$D$133,E$131:E$133,,0)</f>
        <v>0</v>
      </c>
      <c r="F144" s="6" cm="1">
        <f t="array" ref="F144">+$I$123*$G125*_xlfn.XLOOKUP($D144,_xlfn.ANCHORARRAY($I$118),$L$118:$L$120,,0)*_xlfn.XLOOKUP($D144,$D$131:$D$133,F$131:F$133,,0)</f>
        <v>0</v>
      </c>
      <c r="G144" s="6" cm="1">
        <f t="array" ref="G144">+$I$123*$G125*_xlfn.XLOOKUP($D144,_xlfn.ANCHORARRAY($I$118),$L$118:$L$120,,0)*_xlfn.XLOOKUP($D144,$D$131:$D$133,G$131:G$133,,0)</f>
        <v>0</v>
      </c>
      <c r="H144" s="6" cm="1">
        <f t="array" ref="H144">+$I$123*$G125*_xlfn.XLOOKUP($D144,_xlfn.ANCHORARRAY($I$118),$L$118:$L$120,,0)*_xlfn.XLOOKUP($D144,$D$131:$D$133,H$131:H$133,,0)</f>
        <v>0</v>
      </c>
      <c r="I144" s="6" cm="1">
        <f t="array" ref="I144">+$I$123*$G125*_xlfn.XLOOKUP($D144,_xlfn.ANCHORARRAY($I$118),$L$118:$L$120,,0)*_xlfn.XLOOKUP($D144,$D$131:$D$133,I$131:I$133,,0)</f>
        <v>0</v>
      </c>
      <c r="J144" s="6" cm="1">
        <f t="array" ref="J144">+$I$123*$G125*_xlfn.XLOOKUP($D144,_xlfn.ANCHORARRAY($I$118),$L$118:$L$120,,0)*_xlfn.XLOOKUP($D144,$D$131:$D$133,J$131:J$133,,0)</f>
        <v>0</v>
      </c>
      <c r="K144" s="6" cm="1">
        <f t="array" ref="K144">+$I$123*$G125*_xlfn.XLOOKUP($D144,_xlfn.ANCHORARRAY($I$118),$L$118:$L$120,,0)*_xlfn.XLOOKUP($D144,$D$131:$D$133,K$131:K$133,,0)</f>
        <v>0</v>
      </c>
      <c r="L144" s="6" cm="1">
        <f t="array" ref="L144">+$I$123*$G125*_xlfn.XLOOKUP($D144,_xlfn.ANCHORARRAY($I$118),$L$118:$L$120,,0)*_xlfn.XLOOKUP($D144,$D$131:$D$133,L$131:L$133,,0)</f>
        <v>0</v>
      </c>
      <c r="M144" s="7" cm="1">
        <f t="array" ref="M144">+$I$123*$G125*_xlfn.XLOOKUP($D144,_xlfn.ANCHORARRAY($I$118),$L$118:$L$120,,0)*_xlfn.XLOOKUP($D144,$D$131:$D$133,M$131:M$133,,0)</f>
        <v>0</v>
      </c>
      <c r="N144" s="18"/>
    </row>
    <row r="145" spans="3:23" x14ac:dyDescent="0.3">
      <c r="C145" s="20" t="s">
        <v>11</v>
      </c>
      <c r="D145" s="25" t="str">
        <f t="shared" si="46"/>
        <v>Serv</v>
      </c>
      <c r="E145" s="9" cm="1">
        <f t="array" ref="E145">+$I$123*$G126*_xlfn.XLOOKUP($D145,_xlfn.ANCHORARRAY($I$118),$L$118:$L$120,,0)*_xlfn.XLOOKUP($D145,$D$131:$D$133,E$131:E$133,,0)</f>
        <v>0</v>
      </c>
      <c r="F145" s="10" cm="1">
        <f t="array" ref="F145">+$I$123*$G126*_xlfn.XLOOKUP($D145,_xlfn.ANCHORARRAY($I$118),$L$118:$L$120,,0)*_xlfn.XLOOKUP($D145,$D$131:$D$133,F$131:F$133,,0)</f>
        <v>0</v>
      </c>
      <c r="G145" s="10" cm="1">
        <f t="array" ref="G145">+$I$123*$G126*_xlfn.XLOOKUP($D145,_xlfn.ANCHORARRAY($I$118),$L$118:$L$120,,0)*_xlfn.XLOOKUP($D145,$D$131:$D$133,G$131:G$133,,0)</f>
        <v>0</v>
      </c>
      <c r="H145" s="10" cm="1">
        <f t="array" ref="H145">+$I$123*$G126*_xlfn.XLOOKUP($D145,_xlfn.ANCHORARRAY($I$118),$L$118:$L$120,,0)*_xlfn.XLOOKUP($D145,$D$131:$D$133,H$131:H$133,,0)</f>
        <v>0</v>
      </c>
      <c r="I145" s="10" cm="1">
        <f t="array" ref="I145">+$I$123*$G126*_xlfn.XLOOKUP($D145,_xlfn.ANCHORARRAY($I$118),$L$118:$L$120,,0)*_xlfn.XLOOKUP($D145,$D$131:$D$133,I$131:I$133,,0)</f>
        <v>0</v>
      </c>
      <c r="J145" s="10" cm="1">
        <f t="array" ref="J145">+$I$123*$G126*_xlfn.XLOOKUP($D145,_xlfn.ANCHORARRAY($I$118),$L$118:$L$120,,0)*_xlfn.XLOOKUP($D145,$D$131:$D$133,J$131:J$133,,0)</f>
        <v>0</v>
      </c>
      <c r="K145" s="10" cm="1">
        <f t="array" ref="K145">+$I$123*$G126*_xlfn.XLOOKUP($D145,_xlfn.ANCHORARRAY($I$118),$L$118:$L$120,,0)*_xlfn.XLOOKUP($D145,$D$131:$D$133,K$131:K$133,,0)</f>
        <v>0</v>
      </c>
      <c r="L145" s="10" cm="1">
        <f t="array" ref="L145">+$I$123*$G126*_xlfn.XLOOKUP($D145,_xlfn.ANCHORARRAY($I$118),$L$118:$L$120,,0)*_xlfn.XLOOKUP($D145,$D$131:$D$133,L$131:L$133,,0)</f>
        <v>0</v>
      </c>
      <c r="M145" s="11" cm="1">
        <f t="array" ref="M145">+$I$123*$G126*_xlfn.XLOOKUP($D145,_xlfn.ANCHORARRAY($I$118),$L$118:$L$120,,0)*_xlfn.XLOOKUP($D145,$D$131:$D$133,M$131:M$133,,0)</f>
        <v>0</v>
      </c>
      <c r="N145" s="18"/>
    </row>
    <row r="146" spans="3:23" x14ac:dyDescent="0.3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3" x14ac:dyDescent="0.3">
      <c r="O147" s="19"/>
    </row>
    <row r="148" spans="3:23" ht="15" thickBot="1" x14ac:dyDescent="0.35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3" ht="15" thickBot="1" x14ac:dyDescent="0.35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3" x14ac:dyDescent="0.3">
      <c r="C150" s="20" t="s">
        <v>1</v>
      </c>
      <c r="D150" s="28" t="s">
        <v>51</v>
      </c>
      <c r="E150" s="1">
        <f>+MIN(E78,E94)+E137</f>
        <v>8</v>
      </c>
      <c r="F150" s="2">
        <f t="shared" ref="F150:M150" si="47">+MIN(F78,F94)+F137</f>
        <v>3.9262440664131035</v>
      </c>
      <c r="G150" s="2">
        <f t="shared" si="47"/>
        <v>7.9086433699600311</v>
      </c>
      <c r="H150" s="2">
        <f t="shared" si="47"/>
        <v>0.72170039090236149</v>
      </c>
      <c r="I150" s="2">
        <f t="shared" si="47"/>
        <v>0</v>
      </c>
      <c r="J150" s="2">
        <f t="shared" si="47"/>
        <v>6.4</v>
      </c>
      <c r="K150" s="2">
        <f t="shared" si="47"/>
        <v>2.2194275467832174</v>
      </c>
      <c r="L150" s="2">
        <f t="shared" si="47"/>
        <v>5.6000000000000005</v>
      </c>
      <c r="M150" s="3">
        <f t="shared" si="47"/>
        <v>1.6</v>
      </c>
      <c r="N150" s="19">
        <f>+E150-E5</f>
        <v>-2</v>
      </c>
      <c r="O150" s="19">
        <f t="shared" ref="O150:V158" si="48">+F150-F5</f>
        <v>-1.0737559335868965</v>
      </c>
      <c r="P150" s="19">
        <f t="shared" si="48"/>
        <v>-2.0913566300399689</v>
      </c>
      <c r="Q150" s="19">
        <f t="shared" si="48"/>
        <v>-0.27829960909763851</v>
      </c>
      <c r="R150" s="19">
        <f t="shared" si="48"/>
        <v>0</v>
      </c>
      <c r="S150" s="19">
        <f t="shared" si="48"/>
        <v>-1.5999999999999996</v>
      </c>
      <c r="T150" s="19">
        <f t="shared" si="48"/>
        <v>-0.78057245321678259</v>
      </c>
      <c r="U150" s="19">
        <f t="shared" si="48"/>
        <v>-1.3999999999999995</v>
      </c>
      <c r="V150" s="19">
        <f t="shared" si="48"/>
        <v>-0.39999999999999991</v>
      </c>
      <c r="W150" s="16">
        <f>+SUM(N150:V150)</f>
        <v>-9.6239846259412847</v>
      </c>
    </row>
    <row r="151" spans="3:23" x14ac:dyDescent="0.3">
      <c r="C151" s="20" t="s">
        <v>1</v>
      </c>
      <c r="D151" s="25" t="s">
        <v>52</v>
      </c>
      <c r="E151" s="5">
        <f t="shared" ref="E151:M158" si="49">+MIN(E79,E95)+E138</f>
        <v>7.0495733408834287</v>
      </c>
      <c r="F151" s="6">
        <f t="shared" si="49"/>
        <v>2.355746439847862</v>
      </c>
      <c r="G151" s="6">
        <f t="shared" si="49"/>
        <v>7.1177790329640285</v>
      </c>
      <c r="H151" s="6">
        <f t="shared" si="49"/>
        <v>2.886801563609446</v>
      </c>
      <c r="I151" s="6">
        <f t="shared" si="49"/>
        <v>1.509734004276988</v>
      </c>
      <c r="J151" s="6">
        <f t="shared" si="49"/>
        <v>8.2262419863798026</v>
      </c>
      <c r="K151" s="6">
        <f t="shared" si="49"/>
        <v>0.7398091822610724</v>
      </c>
      <c r="L151" s="6">
        <f t="shared" si="49"/>
        <v>3.2785830640421909</v>
      </c>
      <c r="M151" s="7">
        <f t="shared" si="49"/>
        <v>5.804635896499124</v>
      </c>
      <c r="N151" s="19">
        <f t="shared" ref="N151:N158" si="50">+E151-E6</f>
        <v>-0.95042665911657132</v>
      </c>
      <c r="O151" s="19">
        <f t="shared" si="48"/>
        <v>-0.64425356015213797</v>
      </c>
      <c r="P151" s="19">
        <f t="shared" si="48"/>
        <v>-1.8822209670359715</v>
      </c>
      <c r="Q151" s="19">
        <f t="shared" si="48"/>
        <v>-1.113198436390554</v>
      </c>
      <c r="R151" s="19">
        <f t="shared" si="48"/>
        <v>-0.49026599572301199</v>
      </c>
      <c r="S151" s="19">
        <f t="shared" si="48"/>
        <v>-1.7737580136201974</v>
      </c>
      <c r="T151" s="19">
        <f t="shared" si="48"/>
        <v>-0.2601908177389276</v>
      </c>
      <c r="U151" s="19">
        <f t="shared" si="48"/>
        <v>-0.72141693595780909</v>
      </c>
      <c r="V151" s="19">
        <f t="shared" si="48"/>
        <v>-1.195364103500876</v>
      </c>
      <c r="W151" s="16">
        <f t="shared" ref="W151:W158" si="51">+SUM(N151:V151)</f>
        <v>-9.0310954892360584</v>
      </c>
    </row>
    <row r="152" spans="3:23" x14ac:dyDescent="0.3">
      <c r="C152" s="20" t="s">
        <v>1</v>
      </c>
      <c r="D152" s="25" t="s">
        <v>53</v>
      </c>
      <c r="E152" s="5">
        <f t="shared" si="49"/>
        <v>0</v>
      </c>
      <c r="F152" s="6">
        <f t="shared" si="49"/>
        <v>0</v>
      </c>
      <c r="G152" s="6">
        <f t="shared" si="49"/>
        <v>0</v>
      </c>
      <c r="H152" s="6">
        <f t="shared" si="49"/>
        <v>5.0519027363165305</v>
      </c>
      <c r="I152" s="6">
        <f t="shared" si="49"/>
        <v>3.019468008553976</v>
      </c>
      <c r="J152" s="6">
        <f t="shared" si="49"/>
        <v>3.2904967945519208</v>
      </c>
      <c r="K152" s="6">
        <f t="shared" si="49"/>
        <v>5.178664275827507</v>
      </c>
      <c r="L152" s="6">
        <f t="shared" si="49"/>
        <v>3.2785830640421909</v>
      </c>
      <c r="M152" s="7">
        <f t="shared" si="49"/>
        <v>5.804635896499124</v>
      </c>
      <c r="N152" s="19">
        <f t="shared" si="50"/>
        <v>0</v>
      </c>
      <c r="O152" s="19">
        <f t="shared" si="48"/>
        <v>0</v>
      </c>
      <c r="P152" s="19">
        <f t="shared" si="48"/>
        <v>0</v>
      </c>
      <c r="Q152" s="19">
        <f t="shared" si="48"/>
        <v>-1.9480972636834695</v>
      </c>
      <c r="R152" s="19">
        <f t="shared" si="48"/>
        <v>-0.98053199144602399</v>
      </c>
      <c r="S152" s="19">
        <f t="shared" si="48"/>
        <v>-0.70950320544807921</v>
      </c>
      <c r="T152" s="19">
        <f t="shared" si="48"/>
        <v>-1.821335724172493</v>
      </c>
      <c r="U152" s="19">
        <f t="shared" si="48"/>
        <v>-0.72141693595780909</v>
      </c>
      <c r="V152" s="19">
        <f t="shared" si="48"/>
        <v>-1.195364103500876</v>
      </c>
      <c r="W152" s="16">
        <f t="shared" si="51"/>
        <v>-7.3762492242087498</v>
      </c>
    </row>
    <row r="153" spans="3:23" x14ac:dyDescent="0.3">
      <c r="C153" s="20" t="s">
        <v>10</v>
      </c>
      <c r="D153" s="25" t="str">
        <f>+D150</f>
        <v>Agr</v>
      </c>
      <c r="E153" s="5">
        <f t="shared" si="49"/>
        <v>8.3696928781133799</v>
      </c>
      <c r="F153" s="6">
        <f t="shared" si="49"/>
        <v>3.9262440664131035</v>
      </c>
      <c r="G153" s="6">
        <f t="shared" si="49"/>
        <v>3.1634573479840125</v>
      </c>
      <c r="H153" s="6">
        <f t="shared" si="49"/>
        <v>5.0519027363165305</v>
      </c>
      <c r="I153" s="6">
        <f t="shared" si="49"/>
        <v>7.5486700213849405</v>
      </c>
      <c r="J153" s="6">
        <f t="shared" si="49"/>
        <v>7.501457056088829</v>
      </c>
      <c r="K153" s="6">
        <f t="shared" si="49"/>
        <v>7.3980918226107244</v>
      </c>
      <c r="L153" s="6">
        <f t="shared" si="49"/>
        <v>7.4511509448576607</v>
      </c>
      <c r="M153" s="7">
        <f t="shared" si="49"/>
        <v>7.4947088764954808</v>
      </c>
      <c r="N153" s="19">
        <f t="shared" si="50"/>
        <v>-0.63030712188662008</v>
      </c>
      <c r="O153" s="19">
        <f t="shared" si="48"/>
        <v>-1.0737559335868965</v>
      </c>
      <c r="P153" s="19">
        <f t="shared" si="48"/>
        <v>-0.83654265201598754</v>
      </c>
      <c r="Q153" s="19">
        <f t="shared" si="48"/>
        <v>-1.9480972636834695</v>
      </c>
      <c r="R153" s="19">
        <f t="shared" si="48"/>
        <v>-2.4513299786150595</v>
      </c>
      <c r="S153" s="19">
        <f t="shared" si="48"/>
        <v>-1.498542943911171</v>
      </c>
      <c r="T153" s="19">
        <f t="shared" si="48"/>
        <v>-2.6019081773892756</v>
      </c>
      <c r="U153" s="19">
        <f t="shared" si="48"/>
        <v>-1.5488490551423393</v>
      </c>
      <c r="V153" s="19">
        <f t="shared" si="48"/>
        <v>-1.5052911235045192</v>
      </c>
      <c r="W153" s="16">
        <f t="shared" si="51"/>
        <v>-14.094624249735336</v>
      </c>
    </row>
    <row r="154" spans="3:23" x14ac:dyDescent="0.3">
      <c r="C154" s="20" t="s">
        <v>10</v>
      </c>
      <c r="D154" s="25" t="str">
        <f t="shared" ref="D154:D158" si="52">+D151</f>
        <v>Ind</v>
      </c>
      <c r="E154" s="5">
        <f t="shared" si="49"/>
        <v>3.5247866704417143</v>
      </c>
      <c r="F154" s="6">
        <f t="shared" si="49"/>
        <v>1.5704976265652413</v>
      </c>
      <c r="G154" s="6">
        <f t="shared" si="49"/>
        <v>2.3725930109880093</v>
      </c>
      <c r="H154" s="6">
        <f t="shared" si="49"/>
        <v>4.3302023454141683</v>
      </c>
      <c r="I154" s="6">
        <f t="shared" si="49"/>
        <v>5.2840690149694591</v>
      </c>
      <c r="J154" s="6">
        <f t="shared" si="49"/>
        <v>3.2904967945519208</v>
      </c>
      <c r="K154" s="6">
        <f t="shared" si="49"/>
        <v>6.6582826403496513</v>
      </c>
      <c r="L154" s="6">
        <f t="shared" si="49"/>
        <v>1.6392915320210955</v>
      </c>
      <c r="M154" s="7">
        <f t="shared" si="49"/>
        <v>6.6338695959989993</v>
      </c>
      <c r="N154" s="19">
        <f t="shared" si="50"/>
        <v>-0.47521332955828566</v>
      </c>
      <c r="O154" s="19">
        <f t="shared" si="48"/>
        <v>-0.42950237343475872</v>
      </c>
      <c r="P154" s="19">
        <f t="shared" si="48"/>
        <v>-0.62740698901199066</v>
      </c>
      <c r="Q154" s="19">
        <f t="shared" si="48"/>
        <v>-1.6697976545858317</v>
      </c>
      <c r="R154" s="19">
        <f t="shared" si="48"/>
        <v>-1.7159309850305409</v>
      </c>
      <c r="S154" s="19">
        <f t="shared" si="48"/>
        <v>-0.70950320544807921</v>
      </c>
      <c r="T154" s="19">
        <f t="shared" si="48"/>
        <v>-2.3417173596503487</v>
      </c>
      <c r="U154" s="19">
        <f t="shared" si="48"/>
        <v>-0.36070846797890455</v>
      </c>
      <c r="V154" s="19">
        <f t="shared" si="48"/>
        <v>-1.3661304040010007</v>
      </c>
      <c r="W154" s="16">
        <f t="shared" si="51"/>
        <v>-9.6959107686997399</v>
      </c>
    </row>
    <row r="155" spans="3:23" x14ac:dyDescent="0.3">
      <c r="C155" s="20" t="s">
        <v>10</v>
      </c>
      <c r="D155" s="25" t="str">
        <f t="shared" si="52"/>
        <v>Serv</v>
      </c>
      <c r="E155" s="5">
        <f t="shared" si="49"/>
        <v>5.2871800056625711</v>
      </c>
      <c r="F155" s="6">
        <f t="shared" si="49"/>
        <v>3.9262440664131035</v>
      </c>
      <c r="G155" s="6">
        <f t="shared" si="49"/>
        <v>3.1634573479840125</v>
      </c>
      <c r="H155" s="6">
        <f t="shared" si="49"/>
        <v>0.72170039090236149</v>
      </c>
      <c r="I155" s="6">
        <f t="shared" si="49"/>
        <v>6.7938030192464458</v>
      </c>
      <c r="J155" s="6">
        <f t="shared" si="49"/>
        <v>1.6452483972759604</v>
      </c>
      <c r="K155" s="6">
        <f t="shared" si="49"/>
        <v>0.7398091822610724</v>
      </c>
      <c r="L155" s="6">
        <f t="shared" si="49"/>
        <v>4.9178745960632861</v>
      </c>
      <c r="M155" s="7">
        <f t="shared" si="49"/>
        <v>0.82923369949987491</v>
      </c>
      <c r="N155" s="19">
        <f t="shared" si="50"/>
        <v>-0.71281999433742893</v>
      </c>
      <c r="O155" s="19">
        <f t="shared" si="48"/>
        <v>-1.0737559335868965</v>
      </c>
      <c r="P155" s="19">
        <f t="shared" si="48"/>
        <v>-0.83654265201598754</v>
      </c>
      <c r="Q155" s="19">
        <f t="shared" si="48"/>
        <v>-0.27829960909763851</v>
      </c>
      <c r="R155" s="19">
        <f t="shared" si="48"/>
        <v>-2.2061969807535542</v>
      </c>
      <c r="S155" s="19">
        <f t="shared" si="48"/>
        <v>-0.35475160272403961</v>
      </c>
      <c r="T155" s="19">
        <f t="shared" si="48"/>
        <v>-0.2601908177389276</v>
      </c>
      <c r="U155" s="19">
        <f t="shared" si="48"/>
        <v>-1.0821254039367139</v>
      </c>
      <c r="V155" s="19">
        <f t="shared" si="48"/>
        <v>-0.17076630050012509</v>
      </c>
      <c r="W155" s="16">
        <f t="shared" si="51"/>
        <v>-6.9754492946913125</v>
      </c>
    </row>
    <row r="156" spans="3:23" x14ac:dyDescent="0.3">
      <c r="C156" s="20" t="s">
        <v>11</v>
      </c>
      <c r="D156" s="25" t="str">
        <f t="shared" si="52"/>
        <v>Agr</v>
      </c>
      <c r="E156" s="5">
        <f t="shared" si="49"/>
        <v>3.0166338093160476</v>
      </c>
      <c r="F156" s="6">
        <f t="shared" si="49"/>
        <v>7.8524881328262071</v>
      </c>
      <c r="G156" s="6">
        <f t="shared" si="49"/>
        <v>6.3269146959680249</v>
      </c>
      <c r="H156" s="6">
        <f t="shared" si="49"/>
        <v>6.4953035181212524</v>
      </c>
      <c r="I156" s="6">
        <f t="shared" si="49"/>
        <v>7.5486700213849405</v>
      </c>
      <c r="J156" s="6">
        <f t="shared" si="49"/>
        <v>8.3154320756833738E-2</v>
      </c>
      <c r="K156" s="6">
        <f t="shared" si="49"/>
        <v>5.178664275827507</v>
      </c>
      <c r="L156" s="6">
        <f t="shared" si="49"/>
        <v>7.4399932054060312</v>
      </c>
      <c r="M156" s="7">
        <f t="shared" si="49"/>
        <v>6.6607314140021421</v>
      </c>
      <c r="N156" s="19">
        <f t="shared" si="50"/>
        <v>1.6633809316047632E-2</v>
      </c>
      <c r="O156" s="19">
        <f t="shared" si="48"/>
        <v>-2.1475118671737929</v>
      </c>
      <c r="P156" s="19">
        <f t="shared" si="48"/>
        <v>-1.6730853040319751</v>
      </c>
      <c r="Q156" s="19">
        <f t="shared" si="48"/>
        <v>-2.5046964818787476</v>
      </c>
      <c r="R156" s="19">
        <f t="shared" si="48"/>
        <v>-2.4513299786150595</v>
      </c>
      <c r="S156" s="19">
        <f t="shared" si="48"/>
        <v>8.3154320756833738E-2</v>
      </c>
      <c r="T156" s="19">
        <f t="shared" si="48"/>
        <v>-1.821335724172493</v>
      </c>
      <c r="U156" s="19">
        <f t="shared" si="48"/>
        <v>-1.5600067945939688</v>
      </c>
      <c r="V156" s="19">
        <f t="shared" si="48"/>
        <v>-1.3392685859978579</v>
      </c>
      <c r="W156" s="16">
        <f t="shared" si="51"/>
        <v>-13.397446606391014</v>
      </c>
    </row>
    <row r="157" spans="3:23" x14ac:dyDescent="0.3">
      <c r="C157" s="20" t="s">
        <v>11</v>
      </c>
      <c r="D157" s="25" t="str">
        <f t="shared" si="52"/>
        <v>Ind</v>
      </c>
      <c r="E157" s="5">
        <f t="shared" si="49"/>
        <v>0.88119666761042859</v>
      </c>
      <c r="F157" s="6">
        <f t="shared" si="49"/>
        <v>6.2819905062609651</v>
      </c>
      <c r="G157" s="6">
        <f t="shared" si="49"/>
        <v>0</v>
      </c>
      <c r="H157" s="6">
        <f t="shared" si="49"/>
        <v>6.4953035181212524</v>
      </c>
      <c r="I157" s="6">
        <f t="shared" si="49"/>
        <v>0</v>
      </c>
      <c r="J157" s="6">
        <f t="shared" si="49"/>
        <v>0</v>
      </c>
      <c r="K157" s="6">
        <f t="shared" si="49"/>
        <v>5.9184734580885792</v>
      </c>
      <c r="L157" s="6">
        <f t="shared" si="49"/>
        <v>8.1964576601054766</v>
      </c>
      <c r="M157" s="7">
        <f t="shared" si="49"/>
        <v>0.82923369949987491</v>
      </c>
      <c r="N157" s="19">
        <f t="shared" si="50"/>
        <v>-0.11880333238957141</v>
      </c>
      <c r="O157" s="19">
        <f t="shared" si="48"/>
        <v>-1.7180094937390349</v>
      </c>
      <c r="P157" s="19">
        <f t="shared" si="48"/>
        <v>0</v>
      </c>
      <c r="Q157" s="19">
        <f t="shared" si="48"/>
        <v>-2.5046964818787476</v>
      </c>
      <c r="R157" s="19">
        <f t="shared" si="48"/>
        <v>0</v>
      </c>
      <c r="S157" s="19">
        <f t="shared" si="48"/>
        <v>0</v>
      </c>
      <c r="T157" s="19">
        <f t="shared" si="48"/>
        <v>-2.0815265419114208</v>
      </c>
      <c r="U157" s="19">
        <f t="shared" si="48"/>
        <v>-1.8035423398945234</v>
      </c>
      <c r="V157" s="19">
        <f t="shared" si="48"/>
        <v>-0.17076630050012509</v>
      </c>
      <c r="W157" s="16">
        <f t="shared" si="51"/>
        <v>-8.397344490313424</v>
      </c>
    </row>
    <row r="158" spans="3:23" x14ac:dyDescent="0.3">
      <c r="C158" s="20" t="s">
        <v>11</v>
      </c>
      <c r="D158" s="25" t="str">
        <f t="shared" si="52"/>
        <v>Serv</v>
      </c>
      <c r="E158" s="9">
        <f t="shared" si="49"/>
        <v>8.8119666761042854</v>
      </c>
      <c r="F158" s="10">
        <f t="shared" si="49"/>
        <v>1.5704976265652413</v>
      </c>
      <c r="G158" s="10">
        <f t="shared" si="49"/>
        <v>3.1634573479840125</v>
      </c>
      <c r="H158" s="10">
        <f t="shared" si="49"/>
        <v>7.2170039090236138</v>
      </c>
      <c r="I158" s="10">
        <f t="shared" si="49"/>
        <v>0</v>
      </c>
      <c r="J158" s="10">
        <f t="shared" si="49"/>
        <v>0</v>
      </c>
      <c r="K158" s="10">
        <f t="shared" si="49"/>
        <v>2.2194275467832174</v>
      </c>
      <c r="L158" s="10">
        <f t="shared" si="49"/>
        <v>0</v>
      </c>
      <c r="M158" s="11">
        <f t="shared" si="49"/>
        <v>5.804635896499124</v>
      </c>
      <c r="N158" s="19">
        <f t="shared" si="50"/>
        <v>-1.1880333238957146</v>
      </c>
      <c r="O158" s="19">
        <f t="shared" si="48"/>
        <v>-0.42950237343475872</v>
      </c>
      <c r="P158" s="19">
        <f t="shared" si="48"/>
        <v>-0.83654265201598754</v>
      </c>
      <c r="Q158" s="19">
        <f t="shared" si="48"/>
        <v>-2.7829960909763862</v>
      </c>
      <c r="R158" s="19">
        <f t="shared" si="48"/>
        <v>0</v>
      </c>
      <c r="S158" s="19">
        <f t="shared" si="48"/>
        <v>0</v>
      </c>
      <c r="T158" s="19">
        <f t="shared" si="48"/>
        <v>-0.78057245321678259</v>
      </c>
      <c r="U158" s="19">
        <f t="shared" si="48"/>
        <v>0</v>
      </c>
      <c r="V158" s="19">
        <f t="shared" si="48"/>
        <v>-1.195364103500876</v>
      </c>
      <c r="W158" s="16">
        <f t="shared" si="51"/>
        <v>-7.2130109970405059</v>
      </c>
    </row>
    <row r="159" spans="3:23" x14ac:dyDescent="0.3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330.19488425374254</v>
      </c>
      <c r="O159" s="18"/>
    </row>
    <row r="161" spans="1:23" x14ac:dyDescent="0.3">
      <c r="A161" s="66"/>
    </row>
    <row r="162" spans="1:23" ht="15" thickBot="1" x14ac:dyDescent="0.35">
      <c r="A162" s="68" t="s">
        <v>41</v>
      </c>
      <c r="E162" s="20" t="s">
        <v>1</v>
      </c>
      <c r="F162" s="20" t="s">
        <v>1</v>
      </c>
      <c r="G162" s="20" t="s">
        <v>1</v>
      </c>
      <c r="H162" s="20" t="s">
        <v>10</v>
      </c>
      <c r="I162" s="20" t="s">
        <v>10</v>
      </c>
      <c r="J162" s="20" t="s">
        <v>10</v>
      </c>
      <c r="K162" s="20" t="s">
        <v>11</v>
      </c>
      <c r="L162" s="20" t="s">
        <v>11</v>
      </c>
      <c r="M162" s="20" t="s">
        <v>11</v>
      </c>
    </row>
    <row r="163" spans="1:23" ht="15" thickBot="1" x14ac:dyDescent="0.35">
      <c r="D163" s="23" t="s">
        <v>42</v>
      </c>
      <c r="E163" s="27" t="s">
        <v>51</v>
      </c>
      <c r="F163" s="26" t="s">
        <v>52</v>
      </c>
      <c r="G163" s="26" t="s">
        <v>53</v>
      </c>
      <c r="H163" s="26" t="s">
        <v>51</v>
      </c>
      <c r="I163" s="26" t="s">
        <v>52</v>
      </c>
      <c r="J163" s="26" t="s">
        <v>53</v>
      </c>
      <c r="K163" s="26" t="s">
        <v>51</v>
      </c>
      <c r="L163" s="26" t="s">
        <v>52</v>
      </c>
      <c r="M163" s="26" t="s">
        <v>53</v>
      </c>
    </row>
    <row r="164" spans="1:23" x14ac:dyDescent="0.3">
      <c r="D164" s="28" t="str" cm="1">
        <f t="array" ref="D164:D166">+_xlfn.UNIQUE($D$150:$D$158)</f>
        <v>Agr</v>
      </c>
      <c r="E164" s="1">
        <f>+SUMIF($D$5:$D$13,$D164,E$5:E$13)</f>
        <v>22</v>
      </c>
      <c r="F164" s="2">
        <f t="shared" ref="F164:M166" si="53">+SUMIF($D$5:$D$13,$D164,F$5:F$13)</f>
        <v>20</v>
      </c>
      <c r="G164" s="2">
        <f t="shared" si="53"/>
        <v>22</v>
      </c>
      <c r="H164" s="2">
        <f t="shared" si="53"/>
        <v>17</v>
      </c>
      <c r="I164" s="2">
        <f t="shared" si="53"/>
        <v>20</v>
      </c>
      <c r="J164" s="2">
        <f t="shared" si="53"/>
        <v>17</v>
      </c>
      <c r="K164" s="2">
        <f t="shared" si="53"/>
        <v>20</v>
      </c>
      <c r="L164" s="2">
        <f t="shared" si="53"/>
        <v>25</v>
      </c>
      <c r="M164" s="3">
        <f t="shared" si="53"/>
        <v>19</v>
      </c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3">
      <c r="D165" s="25" t="str">
        <v>Ind</v>
      </c>
      <c r="E165" s="5">
        <f t="shared" ref="E165:E166" si="54">+SUMIF($D$5:$D$13,$D165,E$5:E$13)</f>
        <v>13</v>
      </c>
      <c r="F165" s="6">
        <f t="shared" si="53"/>
        <v>13</v>
      </c>
      <c r="G165" s="6">
        <f t="shared" si="53"/>
        <v>12</v>
      </c>
      <c r="H165" s="6">
        <f t="shared" si="53"/>
        <v>19</v>
      </c>
      <c r="I165" s="6">
        <f t="shared" si="53"/>
        <v>9</v>
      </c>
      <c r="J165" s="6">
        <f t="shared" si="53"/>
        <v>14</v>
      </c>
      <c r="K165" s="6">
        <f t="shared" si="53"/>
        <v>18</v>
      </c>
      <c r="L165" s="6">
        <f t="shared" si="53"/>
        <v>16</v>
      </c>
      <c r="M165" s="7">
        <f t="shared" si="53"/>
        <v>16</v>
      </c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x14ac:dyDescent="0.3">
      <c r="D166" s="25" t="str">
        <v>Serv</v>
      </c>
      <c r="E166" s="9">
        <f t="shared" si="54"/>
        <v>16</v>
      </c>
      <c r="F166" s="10">
        <f t="shared" si="53"/>
        <v>7</v>
      </c>
      <c r="G166" s="10">
        <f t="shared" si="53"/>
        <v>8</v>
      </c>
      <c r="H166" s="10">
        <f t="shared" si="53"/>
        <v>18</v>
      </c>
      <c r="I166" s="10">
        <f t="shared" si="53"/>
        <v>13</v>
      </c>
      <c r="J166" s="10">
        <f t="shared" si="53"/>
        <v>6</v>
      </c>
      <c r="K166" s="10">
        <f t="shared" si="53"/>
        <v>11</v>
      </c>
      <c r="L166" s="10">
        <f t="shared" si="53"/>
        <v>10</v>
      </c>
      <c r="M166" s="11">
        <f t="shared" si="53"/>
        <v>15</v>
      </c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x14ac:dyDescent="0.3">
      <c r="D167" s="25" t="s">
        <v>8</v>
      </c>
      <c r="E167" s="70">
        <f>+E15</f>
        <v>71</v>
      </c>
      <c r="F167" s="71">
        <f t="shared" ref="F167:M167" si="55">+F15</f>
        <v>55</v>
      </c>
      <c r="G167" s="71">
        <f t="shared" si="55"/>
        <v>47</v>
      </c>
      <c r="H167" s="71">
        <f t="shared" si="55"/>
        <v>82</v>
      </c>
      <c r="I167" s="71">
        <f t="shared" si="55"/>
        <v>50</v>
      </c>
      <c r="J167" s="71">
        <f t="shared" si="55"/>
        <v>55</v>
      </c>
      <c r="K167" s="71">
        <f t="shared" si="55"/>
        <v>79</v>
      </c>
      <c r="L167" s="71">
        <f t="shared" si="55"/>
        <v>65</v>
      </c>
      <c r="M167" s="72">
        <f t="shared" si="55"/>
        <v>60</v>
      </c>
      <c r="N167" s="19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x14ac:dyDescent="0.3"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" thickBot="1" x14ac:dyDescent="0.35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" thickBot="1" x14ac:dyDescent="0.35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x14ac:dyDescent="0.3">
      <c r="D171" s="28" t="str" cm="1">
        <f t="array" ref="D171:D173">+_xlfn.UNIQUE($D$150:$D$158)</f>
        <v>Agr</v>
      </c>
      <c r="E171" s="1">
        <f t="shared" ref="E171:M173" si="56">+E164/E$167</f>
        <v>0.30985915492957744</v>
      </c>
      <c r="F171" s="2">
        <f t="shared" si="56"/>
        <v>0.36363636363636365</v>
      </c>
      <c r="G171" s="2">
        <f t="shared" si="56"/>
        <v>0.46808510638297873</v>
      </c>
      <c r="H171" s="2">
        <f t="shared" si="56"/>
        <v>0.2073170731707317</v>
      </c>
      <c r="I171" s="2">
        <f t="shared" si="56"/>
        <v>0.4</v>
      </c>
      <c r="J171" s="2">
        <f t="shared" si="56"/>
        <v>0.30909090909090908</v>
      </c>
      <c r="K171" s="2">
        <f t="shared" si="56"/>
        <v>0.25316455696202533</v>
      </c>
      <c r="L171" s="2">
        <f t="shared" si="56"/>
        <v>0.38461538461538464</v>
      </c>
      <c r="M171" s="3">
        <f t="shared" si="56"/>
        <v>0.31666666666666665</v>
      </c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x14ac:dyDescent="0.3">
      <c r="D172" s="25" t="str">
        <v>Ind</v>
      </c>
      <c r="E172" s="5">
        <f t="shared" si="56"/>
        <v>0.18309859154929578</v>
      </c>
      <c r="F172" s="6">
        <f t="shared" si="56"/>
        <v>0.23636363636363636</v>
      </c>
      <c r="G172" s="6">
        <f t="shared" si="56"/>
        <v>0.25531914893617019</v>
      </c>
      <c r="H172" s="6">
        <f t="shared" si="56"/>
        <v>0.23170731707317074</v>
      </c>
      <c r="I172" s="6">
        <f t="shared" si="56"/>
        <v>0.18</v>
      </c>
      <c r="J172" s="6">
        <f t="shared" si="56"/>
        <v>0.25454545454545452</v>
      </c>
      <c r="K172" s="6">
        <f t="shared" si="56"/>
        <v>0.22784810126582278</v>
      </c>
      <c r="L172" s="6">
        <f t="shared" si="56"/>
        <v>0.24615384615384617</v>
      </c>
      <c r="M172" s="7">
        <f t="shared" si="56"/>
        <v>0.26666666666666666</v>
      </c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x14ac:dyDescent="0.3">
      <c r="D173" s="25" t="str">
        <v>Serv</v>
      </c>
      <c r="E173" s="9">
        <f t="shared" si="56"/>
        <v>0.22535211267605634</v>
      </c>
      <c r="F173" s="10">
        <f t="shared" si="56"/>
        <v>0.12727272727272726</v>
      </c>
      <c r="G173" s="10">
        <f t="shared" si="56"/>
        <v>0.1702127659574468</v>
      </c>
      <c r="H173" s="10">
        <f t="shared" si="56"/>
        <v>0.21951219512195122</v>
      </c>
      <c r="I173" s="10">
        <f t="shared" si="56"/>
        <v>0.26</v>
      </c>
      <c r="J173" s="10">
        <f t="shared" si="56"/>
        <v>0.10909090909090909</v>
      </c>
      <c r="K173" s="10">
        <f t="shared" si="56"/>
        <v>0.13924050632911392</v>
      </c>
      <c r="L173" s="10">
        <f t="shared" si="56"/>
        <v>0.15384615384615385</v>
      </c>
      <c r="M173" s="11">
        <f t="shared" si="56"/>
        <v>0.25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3"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" thickBot="1" x14ac:dyDescent="0.35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" thickBot="1" x14ac:dyDescent="0.35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2:23" x14ac:dyDescent="0.3">
      <c r="D177" s="28" t="str" cm="1">
        <f t="array" ref="D177:D179">+_xlfn.UNIQUE($D$150:$D$158)</f>
        <v>Agr</v>
      </c>
      <c r="E177" s="1">
        <f>+SUMIF($D$150:$D$158,$D177,E$150:E$158)</f>
        <v>19.386326687429428</v>
      </c>
      <c r="F177" s="2">
        <f t="shared" ref="F177:M179" si="57">+SUMIF($D$150:$D$158,$D177,F$150:F$158)</f>
        <v>15.704976265652414</v>
      </c>
      <c r="G177" s="2">
        <f t="shared" si="57"/>
        <v>17.399015413912068</v>
      </c>
      <c r="H177" s="2">
        <f t="shared" si="57"/>
        <v>12.268906645340145</v>
      </c>
      <c r="I177" s="2">
        <f t="shared" si="57"/>
        <v>15.097340042769881</v>
      </c>
      <c r="J177" s="2">
        <f t="shared" si="57"/>
        <v>13.984611376845663</v>
      </c>
      <c r="K177" s="2">
        <f t="shared" si="57"/>
        <v>14.796183645221451</v>
      </c>
      <c r="L177" s="2">
        <f t="shared" si="57"/>
        <v>20.491144150263693</v>
      </c>
      <c r="M177" s="3">
        <f t="shared" si="57"/>
        <v>15.755440290497624</v>
      </c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2:23" x14ac:dyDescent="0.3">
      <c r="D178" s="25" t="str">
        <v>Ind</v>
      </c>
      <c r="E178" s="5">
        <f t="shared" ref="E178:E179" si="58">+SUMIF($D$150:$D$158,$D178,E$150:E$158)</f>
        <v>11.455556678935572</v>
      </c>
      <c r="F178" s="6">
        <f t="shared" si="57"/>
        <v>10.208234572674069</v>
      </c>
      <c r="G178" s="6">
        <f t="shared" si="57"/>
        <v>9.4903720439520374</v>
      </c>
      <c r="H178" s="6">
        <f t="shared" si="57"/>
        <v>13.712307427144866</v>
      </c>
      <c r="I178" s="6">
        <f t="shared" si="57"/>
        <v>6.7938030192464467</v>
      </c>
      <c r="J178" s="6">
        <f t="shared" si="57"/>
        <v>11.516738780931723</v>
      </c>
      <c r="K178" s="6">
        <f t="shared" si="57"/>
        <v>13.316565280699303</v>
      </c>
      <c r="L178" s="6">
        <f t="shared" si="57"/>
        <v>13.114332256168762</v>
      </c>
      <c r="M178" s="7">
        <f t="shared" si="57"/>
        <v>13.267739191997999</v>
      </c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2:23" x14ac:dyDescent="0.3">
      <c r="D179" s="25" t="str">
        <v>Serv</v>
      </c>
      <c r="E179" s="9">
        <f t="shared" si="58"/>
        <v>14.099146681766857</v>
      </c>
      <c r="F179" s="10">
        <f t="shared" si="57"/>
        <v>5.496741692978345</v>
      </c>
      <c r="G179" s="10">
        <f t="shared" si="57"/>
        <v>6.3269146959680249</v>
      </c>
      <c r="H179" s="10">
        <f t="shared" si="57"/>
        <v>12.990607036242505</v>
      </c>
      <c r="I179" s="10">
        <f t="shared" si="57"/>
        <v>9.8132710278004218</v>
      </c>
      <c r="J179" s="10">
        <f t="shared" si="57"/>
        <v>4.9357451918278814</v>
      </c>
      <c r="K179" s="10">
        <f t="shared" si="57"/>
        <v>8.1379010048717966</v>
      </c>
      <c r="L179" s="10">
        <f t="shared" si="57"/>
        <v>8.1964576601054766</v>
      </c>
      <c r="M179" s="11">
        <f t="shared" si="57"/>
        <v>12.438505492498123</v>
      </c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2:23" x14ac:dyDescent="0.3"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2:23" x14ac:dyDescent="0.3">
      <c r="E181" s="1">
        <f>+E177/E171</f>
        <v>62.564963400340432</v>
      </c>
      <c r="F181" s="2">
        <f t="shared" ref="F181:M181" si="59">+F177/F171</f>
        <v>43.188684730544139</v>
      </c>
      <c r="G181" s="2">
        <f t="shared" si="59"/>
        <v>37.170623838812141</v>
      </c>
      <c r="H181" s="2">
        <f t="shared" si="59"/>
        <v>59.179432053993644</v>
      </c>
      <c r="I181" s="2">
        <f t="shared" si="59"/>
        <v>37.743350106924701</v>
      </c>
      <c r="J181" s="2">
        <f t="shared" si="59"/>
        <v>45.24433092508891</v>
      </c>
      <c r="K181" s="2">
        <f t="shared" si="59"/>
        <v>58.444925398624726</v>
      </c>
      <c r="L181" s="2">
        <f t="shared" si="59"/>
        <v>53.2769747906856</v>
      </c>
      <c r="M181" s="3">
        <f t="shared" si="59"/>
        <v>49.7540219699925</v>
      </c>
      <c r="N181" s="19">
        <f t="shared" ref="N181:N183" si="60">+SUM(E181:M181)</f>
        <v>446.56730721500679</v>
      </c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2:23" x14ac:dyDescent="0.3">
      <c r="E182" s="5">
        <f t="shared" ref="E182:M183" si="61">+E178/E172</f>
        <v>62.564963400340432</v>
      </c>
      <c r="F182" s="6">
        <f t="shared" si="61"/>
        <v>43.188684730544139</v>
      </c>
      <c r="G182" s="6">
        <f t="shared" si="61"/>
        <v>37.170623838812148</v>
      </c>
      <c r="H182" s="6">
        <f t="shared" si="61"/>
        <v>59.179432053993629</v>
      </c>
      <c r="I182" s="6">
        <f t="shared" si="61"/>
        <v>37.743350106924709</v>
      </c>
      <c r="J182" s="6">
        <f t="shared" si="61"/>
        <v>45.244330925088917</v>
      </c>
      <c r="K182" s="6">
        <f t="shared" si="61"/>
        <v>58.444925398624719</v>
      </c>
      <c r="L182" s="6">
        <f t="shared" si="61"/>
        <v>53.276974790685593</v>
      </c>
      <c r="M182" s="7">
        <f t="shared" si="61"/>
        <v>49.754021969992493</v>
      </c>
      <c r="N182" s="19">
        <f t="shared" si="60"/>
        <v>446.56730721500679</v>
      </c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2:23" x14ac:dyDescent="0.3">
      <c r="E183" s="73">
        <f t="shared" si="61"/>
        <v>62.564963400340432</v>
      </c>
      <c r="F183" s="74">
        <f t="shared" si="61"/>
        <v>43.188684730544146</v>
      </c>
      <c r="G183" s="74">
        <f t="shared" si="61"/>
        <v>37.170623838812148</v>
      </c>
      <c r="H183" s="74">
        <f t="shared" si="61"/>
        <v>59.179432053993629</v>
      </c>
      <c r="I183" s="74">
        <f t="shared" si="61"/>
        <v>37.743350106924701</v>
      </c>
      <c r="J183" s="74">
        <f t="shared" si="61"/>
        <v>45.244330925088917</v>
      </c>
      <c r="K183" s="74">
        <f t="shared" si="61"/>
        <v>58.444925398624726</v>
      </c>
      <c r="L183" s="74">
        <f t="shared" si="61"/>
        <v>53.276974790685593</v>
      </c>
      <c r="M183" s="75">
        <f t="shared" si="61"/>
        <v>49.754021969992493</v>
      </c>
      <c r="N183" s="19">
        <f t="shared" si="60"/>
        <v>446.56730721500679</v>
      </c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2:23" x14ac:dyDescent="0.3">
      <c r="D184" s="25" t="s">
        <v>47</v>
      </c>
      <c r="E184" s="13">
        <f>+MIN(E181:E183)</f>
        <v>62.564963400340432</v>
      </c>
      <c r="F184" s="14">
        <f t="shared" ref="F184:M184" si="62">+MIN(F181:F183)</f>
        <v>43.188684730544139</v>
      </c>
      <c r="G184" s="14">
        <f t="shared" si="62"/>
        <v>37.170623838812141</v>
      </c>
      <c r="H184" s="14">
        <f t="shared" si="62"/>
        <v>59.179432053993629</v>
      </c>
      <c r="I184" s="14">
        <f t="shared" si="62"/>
        <v>37.743350106924701</v>
      </c>
      <c r="J184" s="14">
        <f t="shared" si="62"/>
        <v>45.24433092508891</v>
      </c>
      <c r="K184" s="14">
        <f t="shared" si="62"/>
        <v>58.444925398624719</v>
      </c>
      <c r="L184" s="14">
        <f t="shared" si="62"/>
        <v>53.276974790685593</v>
      </c>
      <c r="M184" s="15">
        <f t="shared" si="62"/>
        <v>49.754021969992493</v>
      </c>
      <c r="N184" s="19">
        <f>+SUM(E184:M184)</f>
        <v>446.56730721500674</v>
      </c>
    </row>
    <row r="185" spans="2:23" x14ac:dyDescent="0.3">
      <c r="E185" s="18"/>
      <c r="F185" s="18"/>
      <c r="G185" s="18"/>
      <c r="H185" s="18"/>
      <c r="I185" s="18"/>
      <c r="J185" s="18"/>
      <c r="K185" s="18"/>
      <c r="L185" s="18"/>
      <c r="M185" s="18"/>
      <c r="N185" s="18">
        <f>+N184-O14</f>
        <v>-117.43269278499326</v>
      </c>
      <c r="O185" s="18" t="s">
        <v>64</v>
      </c>
      <c r="P185" s="18"/>
      <c r="Q185" s="18"/>
      <c r="R185" s="18"/>
      <c r="S185" s="18"/>
      <c r="T185" s="18"/>
      <c r="U185" s="18"/>
      <c r="V185" s="18"/>
      <c r="W185" s="18"/>
    </row>
    <row r="186" spans="2:23" x14ac:dyDescent="0.3">
      <c r="E186" s="18"/>
      <c r="F186" s="18"/>
      <c r="G186" s="18"/>
      <c r="H186" s="18"/>
      <c r="I186" s="18"/>
      <c r="J186" s="18"/>
      <c r="K186" s="18"/>
      <c r="L186" s="18"/>
      <c r="M186" s="18"/>
      <c r="N186" s="18">
        <f>+N185/O57</f>
        <v>8.2699079426051334</v>
      </c>
      <c r="O186" s="18" t="s">
        <v>65</v>
      </c>
      <c r="P186" s="18"/>
      <c r="Q186" s="18"/>
      <c r="R186" s="18"/>
      <c r="S186" s="18"/>
      <c r="T186" s="18"/>
      <c r="U186" s="18"/>
      <c r="V186" s="18"/>
      <c r="W186" s="18"/>
    </row>
    <row r="187" spans="2:23" x14ac:dyDescent="0.3">
      <c r="B187" s="16"/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  <c r="J187" s="114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2:23" x14ac:dyDescent="0.3">
      <c r="B188" s="143">
        <f>+MAX(E188/C188,0)</f>
        <v>0</v>
      </c>
      <c r="C188" s="5" cm="1">
        <f t="array" ref="C188:C196">+H47:H55</f>
        <v>25</v>
      </c>
      <c r="D188" s="136">
        <f>+MAX(G188-SUM(E150:M150),0)</f>
        <v>26.188948026281714</v>
      </c>
      <c r="E188" s="117">
        <f>+C188-D188</f>
        <v>-1.1889480262817145</v>
      </c>
      <c r="F188" s="78">
        <f>+SUM(E150:M150)+C188</f>
        <v>61.376015374058717</v>
      </c>
      <c r="G188" s="79" cm="1">
        <f t="array" ref="G188:G196">+TRANSPOSE(E184:M184)</f>
        <v>62.564963400340432</v>
      </c>
      <c r="H188" s="117">
        <f>+F188-G188</f>
        <v>-1.1889480262817145</v>
      </c>
      <c r="I188" s="120" t="b">
        <f>+H188&lt;0.01</f>
        <v>1</v>
      </c>
      <c r="J188" s="16"/>
      <c r="K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2:23" x14ac:dyDescent="0.3">
      <c r="B189" s="143">
        <f t="shared" ref="B189:B196" si="63">+MAX(E189/C189,0)</f>
        <v>2.1047978175185325E-15</v>
      </c>
      <c r="C189" s="5">
        <v>4.2197802197802066</v>
      </c>
      <c r="D189" s="79">
        <f t="shared" ref="D189:D196" si="64">+MAX(G189-SUM(E151:M151),0)</f>
        <v>4.2197802197801977</v>
      </c>
      <c r="E189" s="117">
        <f t="shared" ref="E189:E196" si="65">+C189-D189</f>
        <v>8.8817841970012523E-15</v>
      </c>
      <c r="F189" s="78">
        <f>+SUM(E151:M151)+C189</f>
        <v>43.188684730544146</v>
      </c>
      <c r="G189" s="79">
        <v>43.188684730544139</v>
      </c>
      <c r="H189" s="117">
        <f t="shared" ref="H189:H196" si="66">+F189-G189</f>
        <v>0</v>
      </c>
      <c r="I189" s="120" t="b">
        <f t="shared" ref="I189:I196" si="67">+H189&lt;0.01</f>
        <v>1</v>
      </c>
      <c r="J189" s="16"/>
      <c r="K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2:23" x14ac:dyDescent="0.3">
      <c r="B190" s="143">
        <f t="shared" si="63"/>
        <v>0</v>
      </c>
      <c r="C190" s="5">
        <v>11.546873063020897</v>
      </c>
      <c r="D190" s="79">
        <f t="shared" si="64"/>
        <v>11.54687306302089</v>
      </c>
      <c r="E190" s="117">
        <f t="shared" si="65"/>
        <v>0</v>
      </c>
      <c r="F190" s="78">
        <f t="shared" ref="F190:F196" si="68">+SUM(E152:M152)+C190</f>
        <v>37.170623838812148</v>
      </c>
      <c r="G190" s="79">
        <v>37.170623838812141</v>
      </c>
      <c r="H190" s="117">
        <f t="shared" si="66"/>
        <v>0</v>
      </c>
      <c r="I190" s="120" t="b">
        <f t="shared" si="67"/>
        <v>1</v>
      </c>
      <c r="J190" s="16"/>
      <c r="K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2:23" x14ac:dyDescent="0.3">
      <c r="B191" s="143">
        <f t="shared" si="63"/>
        <v>0.33530840541885187</v>
      </c>
      <c r="C191" s="5">
        <v>1.9167630734548535</v>
      </c>
      <c r="D191" s="79">
        <f t="shared" si="64"/>
        <v>1.2740563037289689</v>
      </c>
      <c r="E191" s="117">
        <f t="shared" si="65"/>
        <v>0.64270676972588459</v>
      </c>
      <c r="F191" s="78">
        <f t="shared" si="68"/>
        <v>59.822138823719513</v>
      </c>
      <c r="G191" s="79">
        <v>59.179432053993629</v>
      </c>
      <c r="H191" s="117">
        <f t="shared" si="66"/>
        <v>0.64270676972588348</v>
      </c>
      <c r="I191" s="120" t="b">
        <f t="shared" si="67"/>
        <v>0</v>
      </c>
      <c r="J191" s="16"/>
      <c r="K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2:23" x14ac:dyDescent="0.3">
      <c r="B192" s="143">
        <f t="shared" si="63"/>
        <v>0</v>
      </c>
      <c r="C192" s="5">
        <v>2.4392608756244445</v>
      </c>
      <c r="D192" s="79">
        <f t="shared" si="64"/>
        <v>2.4392608756244414</v>
      </c>
      <c r="E192" s="117">
        <f t="shared" si="65"/>
        <v>0</v>
      </c>
      <c r="F192" s="78">
        <f t="shared" si="68"/>
        <v>37.743350106924701</v>
      </c>
      <c r="G192" s="79">
        <v>37.743350106924701</v>
      </c>
      <c r="H192" s="117">
        <f t="shared" si="66"/>
        <v>0</v>
      </c>
      <c r="I192" s="120" t="b">
        <f t="shared" si="67"/>
        <v>1</v>
      </c>
      <c r="J192" s="16"/>
      <c r="K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2:23" x14ac:dyDescent="0.3">
      <c r="B193" s="143">
        <f t="shared" si="63"/>
        <v>0</v>
      </c>
      <c r="C193" s="5">
        <v>17.219780219780212</v>
      </c>
      <c r="D193" s="79">
        <f t="shared" si="64"/>
        <v>17.219780219780223</v>
      </c>
      <c r="E193" s="117">
        <f t="shared" si="65"/>
        <v>0</v>
      </c>
      <c r="F193" s="78">
        <f t="shared" si="68"/>
        <v>45.244330925088903</v>
      </c>
      <c r="G193" s="79">
        <v>45.24433092508891</v>
      </c>
      <c r="H193" s="117">
        <f t="shared" si="66"/>
        <v>0</v>
      </c>
      <c r="I193" s="120" t="b">
        <f t="shared" si="67"/>
        <v>1</v>
      </c>
      <c r="J193" s="16"/>
      <c r="K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2:23" x14ac:dyDescent="0.3">
      <c r="B194" s="143">
        <f t="shared" si="63"/>
        <v>6.5116991274134076E-2</v>
      </c>
      <c r="C194" s="5">
        <v>8.3886132615715745</v>
      </c>
      <c r="D194" s="79">
        <f t="shared" si="64"/>
        <v>7.8423720050157328</v>
      </c>
      <c r="E194" s="117">
        <f t="shared" si="65"/>
        <v>0.54624125655584166</v>
      </c>
      <c r="F194" s="78">
        <f t="shared" si="68"/>
        <v>58.991166655180564</v>
      </c>
      <c r="G194" s="79">
        <v>58.444925398624719</v>
      </c>
      <c r="H194" s="117">
        <f t="shared" si="66"/>
        <v>0.54624125655584521</v>
      </c>
      <c r="I194" s="120" t="b">
        <f t="shared" si="67"/>
        <v>0</v>
      </c>
      <c r="J194" s="16"/>
      <c r="K194" s="18"/>
    </row>
    <row r="195" spans="2:23" x14ac:dyDescent="0.3">
      <c r="B195" s="143">
        <f t="shared" si="63"/>
        <v>0</v>
      </c>
      <c r="C195" s="5">
        <v>24.674319280999015</v>
      </c>
      <c r="D195" s="79">
        <f t="shared" si="64"/>
        <v>24.674319280999018</v>
      </c>
      <c r="E195" s="117">
        <f t="shared" si="65"/>
        <v>0</v>
      </c>
      <c r="F195" s="78">
        <f t="shared" si="68"/>
        <v>53.276974790685586</v>
      </c>
      <c r="G195" s="79">
        <v>53.276974790685593</v>
      </c>
      <c r="H195" s="117">
        <f t="shared" si="66"/>
        <v>0</v>
      </c>
      <c r="I195" s="120" t="b">
        <f t="shared" si="67"/>
        <v>1</v>
      </c>
      <c r="J195" s="16"/>
      <c r="K195" s="18"/>
    </row>
    <row r="196" spans="2:23" x14ac:dyDescent="0.3">
      <c r="B196" s="143">
        <f t="shared" si="63"/>
        <v>0</v>
      </c>
      <c r="C196" s="9">
        <v>20.967032967032985</v>
      </c>
      <c r="D196" s="79">
        <f t="shared" si="64"/>
        <v>20.967032967032996</v>
      </c>
      <c r="E196" s="118">
        <f t="shared" si="65"/>
        <v>0</v>
      </c>
      <c r="F196" s="80">
        <f t="shared" si="68"/>
        <v>49.754021969992479</v>
      </c>
      <c r="G196" s="81">
        <v>49.754021969992493</v>
      </c>
      <c r="H196" s="118">
        <f t="shared" si="66"/>
        <v>0</v>
      </c>
      <c r="I196" s="120" t="b">
        <f t="shared" si="67"/>
        <v>1</v>
      </c>
      <c r="J196" s="16"/>
      <c r="K196" s="18"/>
    </row>
    <row r="198" spans="2:23" ht="15" thickBot="1" x14ac:dyDescent="0.35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23" ht="15" thickBot="1" x14ac:dyDescent="0.35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23" x14ac:dyDescent="0.3">
      <c r="C200" s="20" t="s">
        <v>1</v>
      </c>
      <c r="D200" s="28" t="s">
        <v>51</v>
      </c>
      <c r="E200" s="1">
        <f>+E150/E$184</f>
        <v>0.12786709310144773</v>
      </c>
      <c r="F200" s="2">
        <f t="shared" ref="F200:M200" si="69">+F150/F$184</f>
        <v>9.0909090909090912E-2</v>
      </c>
      <c r="G200" s="2">
        <f t="shared" si="69"/>
        <v>0.21276595744680854</v>
      </c>
      <c r="H200" s="2">
        <f t="shared" si="69"/>
        <v>1.2195121951219514E-2</v>
      </c>
      <c r="I200" s="2">
        <f t="shared" si="69"/>
        <v>0</v>
      </c>
      <c r="J200" s="2">
        <f t="shared" si="69"/>
        <v>0.14145418595307527</v>
      </c>
      <c r="K200" s="2">
        <f t="shared" si="69"/>
        <v>3.7974683544303799E-2</v>
      </c>
      <c r="L200" s="2">
        <f t="shared" si="69"/>
        <v>0.10511107325446428</v>
      </c>
      <c r="M200" s="3">
        <f t="shared" si="69"/>
        <v>3.2158204234523743E-2</v>
      </c>
    </row>
    <row r="201" spans="2:23" x14ac:dyDescent="0.3">
      <c r="C201" s="20" t="s">
        <v>1</v>
      </c>
      <c r="D201" s="25" t="s">
        <v>52</v>
      </c>
      <c r="E201" s="5">
        <f t="shared" ref="E201:M208" si="70">+E151/E$184</f>
        <v>0.11267605633802817</v>
      </c>
      <c r="F201" s="6">
        <f t="shared" si="70"/>
        <v>5.4545454545454543E-2</v>
      </c>
      <c r="G201" s="6">
        <f t="shared" si="70"/>
        <v>0.19148936170212771</v>
      </c>
      <c r="H201" s="6">
        <f t="shared" si="70"/>
        <v>4.8780487804878057E-2</v>
      </c>
      <c r="I201" s="6">
        <f t="shared" si="70"/>
        <v>0.04</v>
      </c>
      <c r="J201" s="6">
        <f t="shared" si="70"/>
        <v>0.18181818181818182</v>
      </c>
      <c r="K201" s="6">
        <f t="shared" si="70"/>
        <v>1.2658227848101266E-2</v>
      </c>
      <c r="L201" s="6">
        <f t="shared" si="70"/>
        <v>6.1538461538461549E-2</v>
      </c>
      <c r="M201" s="7">
        <f t="shared" si="70"/>
        <v>0.11666666666666667</v>
      </c>
    </row>
    <row r="202" spans="2:23" x14ac:dyDescent="0.3">
      <c r="C202" s="20" t="s">
        <v>1</v>
      </c>
      <c r="D202" s="25" t="s">
        <v>53</v>
      </c>
      <c r="E202" s="5">
        <f t="shared" si="70"/>
        <v>0</v>
      </c>
      <c r="F202" s="6">
        <f t="shared" si="70"/>
        <v>0</v>
      </c>
      <c r="G202" s="6">
        <f t="shared" si="70"/>
        <v>0</v>
      </c>
      <c r="H202" s="6">
        <f t="shared" si="70"/>
        <v>8.5365853658536606E-2</v>
      </c>
      <c r="I202" s="6">
        <f t="shared" si="70"/>
        <v>0.08</v>
      </c>
      <c r="J202" s="6">
        <f t="shared" si="70"/>
        <v>7.2727272727272724E-2</v>
      </c>
      <c r="K202" s="6">
        <f t="shared" si="70"/>
        <v>8.8607594936708861E-2</v>
      </c>
      <c r="L202" s="6">
        <f t="shared" si="70"/>
        <v>6.1538461538461549E-2</v>
      </c>
      <c r="M202" s="7">
        <f t="shared" si="70"/>
        <v>0.11666666666666667</v>
      </c>
    </row>
    <row r="203" spans="2:23" x14ac:dyDescent="0.3">
      <c r="C203" s="20" t="s">
        <v>10</v>
      </c>
      <c r="D203" s="25" t="str">
        <f>+D200</f>
        <v>Agr</v>
      </c>
      <c r="E203" s="5">
        <f t="shared" si="70"/>
        <v>0.13377603730953094</v>
      </c>
      <c r="F203" s="6">
        <f t="shared" si="70"/>
        <v>9.0909090909090912E-2</v>
      </c>
      <c r="G203" s="6">
        <f t="shared" si="70"/>
        <v>8.5106382978723416E-2</v>
      </c>
      <c r="H203" s="6">
        <f t="shared" si="70"/>
        <v>8.5365853658536606E-2</v>
      </c>
      <c r="I203" s="6">
        <f t="shared" si="70"/>
        <v>0.2</v>
      </c>
      <c r="J203" s="6">
        <f t="shared" si="70"/>
        <v>0.16579882833296838</v>
      </c>
      <c r="K203" s="6">
        <f t="shared" si="70"/>
        <v>0.12658227848101267</v>
      </c>
      <c r="L203" s="6">
        <f t="shared" si="70"/>
        <v>0.13985687014196505</v>
      </c>
      <c r="M203" s="7">
        <f t="shared" si="70"/>
        <v>0.1506352367053998</v>
      </c>
    </row>
    <row r="204" spans="2:23" x14ac:dyDescent="0.3">
      <c r="C204" s="20" t="s">
        <v>10</v>
      </c>
      <c r="D204" s="25" t="str">
        <f t="shared" ref="D204:D208" si="71">+D201</f>
        <v>Ind</v>
      </c>
      <c r="E204" s="5">
        <f t="shared" si="70"/>
        <v>5.6338028169014086E-2</v>
      </c>
      <c r="F204" s="6">
        <f t="shared" si="70"/>
        <v>3.6363636363636362E-2</v>
      </c>
      <c r="G204" s="6">
        <f t="shared" si="70"/>
        <v>6.3829787234042562E-2</v>
      </c>
      <c r="H204" s="6">
        <f t="shared" si="70"/>
        <v>7.3170731707317083E-2</v>
      </c>
      <c r="I204" s="6">
        <f t="shared" si="70"/>
        <v>0.14000000000000001</v>
      </c>
      <c r="J204" s="6">
        <f t="shared" si="70"/>
        <v>7.2727272727272724E-2</v>
      </c>
      <c r="K204" s="6">
        <f t="shared" si="70"/>
        <v>0.11392405063291139</v>
      </c>
      <c r="L204" s="6">
        <f t="shared" si="70"/>
        <v>3.0769230769230774E-2</v>
      </c>
      <c r="M204" s="7">
        <f t="shared" si="70"/>
        <v>0.13333333333333333</v>
      </c>
    </row>
    <row r="205" spans="2:23" x14ac:dyDescent="0.3">
      <c r="C205" s="20" t="s">
        <v>10</v>
      </c>
      <c r="D205" s="25" t="str">
        <f t="shared" si="71"/>
        <v>Serv</v>
      </c>
      <c r="E205" s="5">
        <f t="shared" si="70"/>
        <v>8.4507042253521111E-2</v>
      </c>
      <c r="F205" s="6">
        <f t="shared" si="70"/>
        <v>9.0909090909090912E-2</v>
      </c>
      <c r="G205" s="6">
        <f t="shared" si="70"/>
        <v>8.5106382978723416E-2</v>
      </c>
      <c r="H205" s="6">
        <f t="shared" si="70"/>
        <v>1.2195121951219514E-2</v>
      </c>
      <c r="I205" s="6">
        <f t="shared" si="70"/>
        <v>0.18</v>
      </c>
      <c r="J205" s="6">
        <f t="shared" si="70"/>
        <v>3.6363636363636362E-2</v>
      </c>
      <c r="K205" s="6">
        <f t="shared" si="70"/>
        <v>1.2658227848101266E-2</v>
      </c>
      <c r="L205" s="6">
        <f t="shared" si="70"/>
        <v>9.2307692307692327E-2</v>
      </c>
      <c r="M205" s="7">
        <f t="shared" si="70"/>
        <v>1.6666666666666666E-2</v>
      </c>
    </row>
    <row r="206" spans="2:23" x14ac:dyDescent="0.3">
      <c r="C206" s="20" t="s">
        <v>11</v>
      </c>
      <c r="D206" s="25" t="str">
        <f t="shared" si="71"/>
        <v>Agr</v>
      </c>
      <c r="E206" s="5">
        <f t="shared" si="70"/>
        <v>4.821602451859875E-2</v>
      </c>
      <c r="F206" s="6">
        <f t="shared" si="70"/>
        <v>0.18181818181818182</v>
      </c>
      <c r="G206" s="6">
        <f t="shared" si="70"/>
        <v>0.17021276595744683</v>
      </c>
      <c r="H206" s="6">
        <f t="shared" si="70"/>
        <v>0.10975609756097561</v>
      </c>
      <c r="I206" s="6">
        <f t="shared" si="70"/>
        <v>0.2</v>
      </c>
      <c r="J206" s="6">
        <f t="shared" si="70"/>
        <v>1.8378948048654415E-3</v>
      </c>
      <c r="K206" s="6">
        <f t="shared" si="70"/>
        <v>8.8607594936708861E-2</v>
      </c>
      <c r="L206" s="6">
        <f t="shared" si="70"/>
        <v>0.13964744121895534</v>
      </c>
      <c r="M206" s="7">
        <f t="shared" si="70"/>
        <v>0.13387322572674312</v>
      </c>
    </row>
    <row r="207" spans="2:23" x14ac:dyDescent="0.3">
      <c r="C207" s="20" t="s">
        <v>11</v>
      </c>
      <c r="D207" s="25" t="str">
        <f t="shared" si="71"/>
        <v>Ind</v>
      </c>
      <c r="E207" s="5">
        <f t="shared" si="70"/>
        <v>1.4084507042253521E-2</v>
      </c>
      <c r="F207" s="6">
        <f t="shared" si="70"/>
        <v>0.14545454545454545</v>
      </c>
      <c r="G207" s="6">
        <f t="shared" si="70"/>
        <v>0</v>
      </c>
      <c r="H207" s="6">
        <f t="shared" si="70"/>
        <v>0.10975609756097561</v>
      </c>
      <c r="I207" s="6">
        <f t="shared" si="70"/>
        <v>0</v>
      </c>
      <c r="J207" s="6">
        <f t="shared" si="70"/>
        <v>0</v>
      </c>
      <c r="K207" s="6">
        <f t="shared" si="70"/>
        <v>0.10126582278481013</v>
      </c>
      <c r="L207" s="6">
        <f t="shared" si="70"/>
        <v>0.15384615384615385</v>
      </c>
      <c r="M207" s="7">
        <f t="shared" si="70"/>
        <v>1.6666666666666666E-2</v>
      </c>
    </row>
    <row r="208" spans="2:23" x14ac:dyDescent="0.3">
      <c r="C208" s="20" t="s">
        <v>11</v>
      </c>
      <c r="D208" s="25" t="str">
        <f t="shared" si="71"/>
        <v>Serv</v>
      </c>
      <c r="E208" s="9">
        <f t="shared" si="70"/>
        <v>0.14084507042253519</v>
      </c>
      <c r="F208" s="10">
        <f t="shared" si="70"/>
        <v>3.6363636363636362E-2</v>
      </c>
      <c r="G208" s="10">
        <f t="shared" si="70"/>
        <v>8.5106382978723416E-2</v>
      </c>
      <c r="H208" s="10">
        <f t="shared" si="70"/>
        <v>0.12195121951219513</v>
      </c>
      <c r="I208" s="10">
        <f t="shared" si="70"/>
        <v>0</v>
      </c>
      <c r="J208" s="10">
        <f t="shared" si="70"/>
        <v>0</v>
      </c>
      <c r="K208" s="10">
        <f t="shared" si="70"/>
        <v>3.7974683544303799E-2</v>
      </c>
      <c r="L208" s="10">
        <f t="shared" si="70"/>
        <v>0</v>
      </c>
      <c r="M208" s="11">
        <f t="shared" si="70"/>
        <v>0.11666666666666667</v>
      </c>
    </row>
    <row r="211" spans="3:13" ht="15" thickBot="1" x14ac:dyDescent="0.35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" thickBot="1" x14ac:dyDescent="0.35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3">
      <c r="C213" s="20" t="s">
        <v>1</v>
      </c>
      <c r="D213" s="28" t="s">
        <v>51</v>
      </c>
      <c r="E213" s="1" cm="1">
        <f t="array" ref="E213:M221">+MINVERSE(_xlfn.MUNIT(COUNTA($D$213:$D$221))-E200:M208)</f>
        <v>1.3181985563407865</v>
      </c>
      <c r="F213" s="2">
        <v>0.28653287717228354</v>
      </c>
      <c r="G213" s="2">
        <v>0.45162922482596629</v>
      </c>
      <c r="H213" s="2">
        <v>0.19561730518834458</v>
      </c>
      <c r="I213" s="2">
        <v>0.21900611684829793</v>
      </c>
      <c r="J213" s="2">
        <v>0.33223379673704651</v>
      </c>
      <c r="K213" s="2">
        <v>0.2091403148311515</v>
      </c>
      <c r="L213" s="2">
        <v>0.32849031545457319</v>
      </c>
      <c r="M213" s="3">
        <v>0.25606170799157979</v>
      </c>
    </row>
    <row r="214" spans="3:13" x14ac:dyDescent="0.3">
      <c r="C214" s="20" t="s">
        <v>1</v>
      </c>
      <c r="D214" s="25" t="s">
        <v>52</v>
      </c>
      <c r="E214" s="5">
        <v>0.33101942475323759</v>
      </c>
      <c r="F214" s="6">
        <v>1.258271058973446</v>
      </c>
      <c r="G214" s="6">
        <v>0.44821458096678601</v>
      </c>
      <c r="H214" s="6">
        <v>0.24868205720603628</v>
      </c>
      <c r="I214" s="6">
        <v>0.28454172361177493</v>
      </c>
      <c r="J214" s="6">
        <v>0.38446753294603891</v>
      </c>
      <c r="K214" s="6">
        <v>0.19788653049175722</v>
      </c>
      <c r="L214" s="6">
        <v>0.29127917050844776</v>
      </c>
      <c r="M214" s="7">
        <v>0.36553393794196576</v>
      </c>
    </row>
    <row r="215" spans="3:13" x14ac:dyDescent="0.3">
      <c r="C215" s="20" t="s">
        <v>1</v>
      </c>
      <c r="D215" s="25" t="s">
        <v>53</v>
      </c>
      <c r="E215" s="5">
        <v>0.16243103362695477</v>
      </c>
      <c r="F215" s="6">
        <v>0.16143990250294477</v>
      </c>
      <c r="G215" s="6">
        <v>1.1872442208042142</v>
      </c>
      <c r="H215" s="6">
        <v>0.24300087782033283</v>
      </c>
      <c r="I215" s="6">
        <v>0.27201883843544034</v>
      </c>
      <c r="J215" s="6">
        <v>0.20669190839400881</v>
      </c>
      <c r="K215" s="6">
        <v>0.23347174107517807</v>
      </c>
      <c r="L215" s="6">
        <v>0.22939963477569209</v>
      </c>
      <c r="M215" s="7">
        <v>0.31015183255922424</v>
      </c>
    </row>
    <row r="216" spans="3:13" x14ac:dyDescent="0.3">
      <c r="C216" s="20" t="s">
        <v>10</v>
      </c>
      <c r="D216" s="25" t="str">
        <f>+D213</f>
        <v>Agr</v>
      </c>
      <c r="E216" s="5">
        <v>0.47876391602056712</v>
      </c>
      <c r="F216" s="6">
        <v>0.43265012560389826</v>
      </c>
      <c r="G216" s="6">
        <v>0.50414352947940111</v>
      </c>
      <c r="H216" s="6">
        <v>1.4103599203989214</v>
      </c>
      <c r="I216" s="6">
        <v>0.59543120288709739</v>
      </c>
      <c r="J216" s="6">
        <v>0.47838017477298428</v>
      </c>
      <c r="K216" s="6">
        <v>0.43126465780737133</v>
      </c>
      <c r="L216" s="6">
        <v>0.50572941500635371</v>
      </c>
      <c r="M216" s="7">
        <v>0.55547108577080351</v>
      </c>
    </row>
    <row r="217" spans="3:13" x14ac:dyDescent="0.3">
      <c r="C217" s="20" t="s">
        <v>10</v>
      </c>
      <c r="D217" s="25" t="str">
        <f t="shared" ref="D217:D221" si="72">+D214</f>
        <v>Ind</v>
      </c>
      <c r="E217" s="5">
        <v>0.27862688805885982</v>
      </c>
      <c r="F217" s="6">
        <v>0.24831139363824573</v>
      </c>
      <c r="G217" s="6">
        <v>0.33044105415445596</v>
      </c>
      <c r="H217" s="6">
        <v>0.28503497190184857</v>
      </c>
      <c r="I217" s="6">
        <v>1.399688292565515</v>
      </c>
      <c r="J217" s="6">
        <v>0.26796146019521844</v>
      </c>
      <c r="K217" s="6">
        <v>0.31062067156473727</v>
      </c>
      <c r="L217" s="6">
        <v>0.2552089369960987</v>
      </c>
      <c r="M217" s="7">
        <v>0.40341053583097686</v>
      </c>
    </row>
    <row r="218" spans="3:13" x14ac:dyDescent="0.3">
      <c r="C218" s="20" t="s">
        <v>10</v>
      </c>
      <c r="D218" s="25" t="str">
        <f t="shared" si="72"/>
        <v>Serv</v>
      </c>
      <c r="E218" s="5">
        <v>0.24783950310276934</v>
      </c>
      <c r="F218" s="6">
        <v>0.25211501283916238</v>
      </c>
      <c r="G218" s="6">
        <v>0.28837362680069084</v>
      </c>
      <c r="H218" s="6">
        <v>0.17082034843061239</v>
      </c>
      <c r="I218" s="6">
        <v>0.36859471976117597</v>
      </c>
      <c r="J218" s="6">
        <v>1.2009781076628387</v>
      </c>
      <c r="K218" s="6">
        <v>0.16748419635778083</v>
      </c>
      <c r="L218" s="6">
        <v>0.2703900111611019</v>
      </c>
      <c r="M218" s="7">
        <v>0.21831968963318332</v>
      </c>
    </row>
    <row r="219" spans="3:13" x14ac:dyDescent="0.3">
      <c r="C219" s="20" t="s">
        <v>11</v>
      </c>
      <c r="D219" s="25" t="str">
        <f t="shared" si="72"/>
        <v>Agr</v>
      </c>
      <c r="E219" s="5">
        <v>0.36177591488851812</v>
      </c>
      <c r="F219" s="6">
        <v>0.48379028495317195</v>
      </c>
      <c r="G219" s="6">
        <v>0.54651106333854482</v>
      </c>
      <c r="H219" s="6">
        <v>0.42254177659889747</v>
      </c>
      <c r="I219" s="6">
        <v>0.5556565691092088</v>
      </c>
      <c r="J219" s="6">
        <v>0.30289980973441116</v>
      </c>
      <c r="K219" s="6">
        <v>1.3788091594836782</v>
      </c>
      <c r="L219" s="6">
        <v>0.47051663886772632</v>
      </c>
      <c r="M219" s="7">
        <v>0.52873473372939783</v>
      </c>
    </row>
    <row r="220" spans="3:13" x14ac:dyDescent="0.3">
      <c r="C220" s="20" t="s">
        <v>11</v>
      </c>
      <c r="D220" s="25" t="str">
        <f t="shared" si="72"/>
        <v>Ind</v>
      </c>
      <c r="E220" s="5">
        <v>0.19056709496874835</v>
      </c>
      <c r="F220" s="6">
        <v>0.33889874151133803</v>
      </c>
      <c r="G220" s="6">
        <v>0.22123316947377775</v>
      </c>
      <c r="H220" s="6">
        <v>0.2849840695503672</v>
      </c>
      <c r="I220" s="6">
        <v>0.19981700747006997</v>
      </c>
      <c r="J220" s="6">
        <v>0.17322711327741122</v>
      </c>
      <c r="K220" s="6">
        <v>0.26205164452948482</v>
      </c>
      <c r="L220" s="6">
        <v>1.3627434366701929</v>
      </c>
      <c r="M220" s="7">
        <v>0.22837260800520615</v>
      </c>
    </row>
    <row r="221" spans="3:13" x14ac:dyDescent="0.3">
      <c r="C221" s="20" t="s">
        <v>11</v>
      </c>
      <c r="D221" s="25" t="str">
        <f t="shared" si="72"/>
        <v>Serv</v>
      </c>
      <c r="E221" s="9">
        <v>0.32110972703116919</v>
      </c>
      <c r="F221" s="10">
        <v>0.19356861971543587</v>
      </c>
      <c r="G221" s="10">
        <v>0.29794531275692937</v>
      </c>
      <c r="H221" s="10">
        <v>0.27771695693187787</v>
      </c>
      <c r="I221" s="10">
        <v>0.17893345682084155</v>
      </c>
      <c r="J221" s="10">
        <v>0.16778094441345279</v>
      </c>
      <c r="K221" s="10">
        <v>0.18280220837977429</v>
      </c>
      <c r="L221" s="10">
        <v>0.17651731017615341</v>
      </c>
      <c r="M221" s="11">
        <v>1.3172513022357561</v>
      </c>
    </row>
    <row r="223" spans="3:13" x14ac:dyDescent="0.3">
      <c r="E223" s="16"/>
      <c r="F223" s="16"/>
      <c r="G223" s="18"/>
      <c r="I223" s="16"/>
      <c r="L223" s="16"/>
    </row>
    <row r="224" spans="3:13" x14ac:dyDescent="0.3">
      <c r="E224" s="16"/>
      <c r="F224" s="16"/>
      <c r="G224" s="18"/>
      <c r="I224" s="16"/>
      <c r="L224" s="16"/>
    </row>
    <row r="225" spans="5:12" x14ac:dyDescent="0.3">
      <c r="E225" s="16"/>
      <c r="F225" s="16"/>
      <c r="G225" s="18"/>
      <c r="I225" s="16"/>
      <c r="L225" s="16"/>
    </row>
    <row r="226" spans="5:12" x14ac:dyDescent="0.3">
      <c r="E226" s="16"/>
      <c r="F226" s="16"/>
      <c r="G226" s="18"/>
      <c r="I226" s="16"/>
      <c r="L226" s="16"/>
    </row>
    <row r="227" spans="5:12" x14ac:dyDescent="0.3">
      <c r="E227" s="16"/>
      <c r="F227" s="16"/>
      <c r="G227" s="18"/>
      <c r="I227" s="16"/>
      <c r="L227" s="16"/>
    </row>
    <row r="228" spans="5:12" x14ac:dyDescent="0.3">
      <c r="E228" s="16"/>
      <c r="F228" s="16"/>
      <c r="G228" s="18"/>
      <c r="I228" s="16"/>
      <c r="L228" s="16"/>
    </row>
    <row r="229" spans="5:12" x14ac:dyDescent="0.3">
      <c r="E229" s="16"/>
      <c r="F229" s="16"/>
      <c r="G229" s="18"/>
      <c r="I229" s="16"/>
      <c r="L229" s="16"/>
    </row>
    <row r="230" spans="5:12" x14ac:dyDescent="0.3">
      <c r="E230" s="16"/>
      <c r="F230" s="16"/>
      <c r="G230" s="18"/>
      <c r="I230" s="16"/>
      <c r="L230" s="16"/>
    </row>
    <row r="231" spans="5:12" x14ac:dyDescent="0.3">
      <c r="E231" s="16"/>
      <c r="F231" s="16"/>
      <c r="G231" s="18"/>
      <c r="I231" s="16"/>
      <c r="L231" s="16"/>
    </row>
    <row r="234" spans="5:12" x14ac:dyDescent="0.3">
      <c r="E234" s="16"/>
    </row>
    <row r="235" spans="5:12" x14ac:dyDescent="0.3">
      <c r="E235" s="16"/>
      <c r="F235" s="18"/>
    </row>
    <row r="236" spans="5:12" x14ac:dyDescent="0.3">
      <c r="E236" s="16"/>
      <c r="F236" s="18"/>
    </row>
    <row r="237" spans="5:12" x14ac:dyDescent="0.3">
      <c r="E237" s="16"/>
      <c r="F237" s="18"/>
    </row>
    <row r="238" spans="5:12" x14ac:dyDescent="0.3">
      <c r="E238" s="16"/>
      <c r="F238" s="18"/>
    </row>
    <row r="239" spans="5:12" x14ac:dyDescent="0.3">
      <c r="E239" s="16"/>
      <c r="F239" s="18"/>
    </row>
    <row r="240" spans="5:12" x14ac:dyDescent="0.3">
      <c r="E240" s="16"/>
      <c r="F240" s="18"/>
    </row>
    <row r="241" spans="5:6" x14ac:dyDescent="0.3">
      <c r="E241" s="16"/>
      <c r="F241" s="18"/>
    </row>
    <row r="242" spans="5:6" x14ac:dyDescent="0.3">
      <c r="E242" s="16"/>
      <c r="F242" s="18"/>
    </row>
    <row r="243" spans="5:6" x14ac:dyDescent="0.3">
      <c r="F243" s="18"/>
    </row>
  </sheetData>
  <conditionalFormatting sqref="E88:M88">
    <cfRule type="expression" dxfId="17" priority="2">
      <formula>E88&lt;E89</formula>
    </cfRule>
  </conditionalFormatting>
  <conditionalFormatting sqref="E89:M89">
    <cfRule type="expression" dxfId="16" priority="1">
      <formula>E89&lt;E88</formula>
    </cfRule>
  </conditionalFormatting>
  <conditionalFormatting sqref="E106:M115">
    <cfRule type="expression" dxfId="15" priority="10">
      <formula>E106&lt;0</formula>
    </cfRule>
  </conditionalFormatting>
  <conditionalFormatting sqref="E131:M133">
    <cfRule type="expression" dxfId="14" priority="8">
      <formula>E131&lt;0</formula>
    </cfRule>
  </conditionalFormatting>
  <conditionalFormatting sqref="E137:M145">
    <cfRule type="expression" dxfId="13" priority="9">
      <formula>E137&lt;0</formula>
    </cfRule>
  </conditionalFormatting>
  <conditionalFormatting sqref="N78:V8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0:V15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4:W172">
    <cfRule type="containsText" dxfId="12" priority="3" operator="containsText" text="FALSO">
      <formula>NOT(ISERROR(SEARCH("FALSO",O164)))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0:W142 V136:W1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26AB-2268-42B6-A885-55992EF2E9B0}">
  <dimension ref="A3:Y243"/>
  <sheetViews>
    <sheetView showGridLines="0" zoomScaleNormal="100" workbookViewId="0">
      <selection activeCell="E5" sqref="E5"/>
    </sheetView>
  </sheetViews>
  <sheetFormatPr defaultRowHeight="14.4" x14ac:dyDescent="0.3"/>
  <cols>
    <col min="1" max="1" width="12.6640625" style="65" customWidth="1"/>
    <col min="2" max="23" width="12.6640625" customWidth="1"/>
  </cols>
  <sheetData>
    <row r="3" spans="3:18" ht="15" thickBot="1" x14ac:dyDescent="0.35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" thickBot="1" x14ac:dyDescent="0.35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67</v>
      </c>
      <c r="O4" s="21" t="s">
        <v>68</v>
      </c>
      <c r="P4" s="57" t="s">
        <v>29</v>
      </c>
      <c r="Q4" s="57" t="s">
        <v>8</v>
      </c>
      <c r="R4" s="57"/>
    </row>
    <row r="5" spans="3:18" x14ac:dyDescent="0.3">
      <c r="C5" s="20" t="s">
        <v>1</v>
      </c>
      <c r="D5" s="28" t="s">
        <v>51</v>
      </c>
      <c r="E5" s="82">
        <f>+IO_sub_model!E150</f>
        <v>8</v>
      </c>
      <c r="F5" s="83">
        <f>+IO_sub_model!F150</f>
        <v>4</v>
      </c>
      <c r="G5" s="83">
        <f>+IO_sub_model!G150</f>
        <v>8</v>
      </c>
      <c r="H5" s="83">
        <f>+IO_sub_model!H150</f>
        <v>0.8</v>
      </c>
      <c r="I5" s="83">
        <f>+IO_sub_model!I150</f>
        <v>0</v>
      </c>
      <c r="J5" s="83">
        <f>+IO_sub_model!J150</f>
        <v>6.4</v>
      </c>
      <c r="K5" s="83">
        <f>+IO_sub_model!K150</f>
        <v>2.4000000000000004</v>
      </c>
      <c r="L5" s="83">
        <f>+IO_sub_model!L150</f>
        <v>5.6000000000000005</v>
      </c>
      <c r="M5" s="84">
        <f>+IO_sub_model!M150</f>
        <v>1.6</v>
      </c>
      <c r="N5" s="24">
        <f>+O5-SUM(E5:M5)</f>
        <v>30.610989010989009</v>
      </c>
      <c r="O5" s="137" cm="1">
        <f t="array" ref="O5:O13">+TRANSPOSE(_xlfn.ANCHORARRAY(E15))</f>
        <v>67.410989010989013</v>
      </c>
      <c r="P5" s="62" cm="1">
        <f t="array" ref="P5:P13">+MMULT(E21:M29,O5:O13)</f>
        <v>36.800000000000004</v>
      </c>
      <c r="Q5" s="61">
        <f>+P5+N5</f>
        <v>67.410989010989013</v>
      </c>
      <c r="R5" s="61" t="b">
        <f>+Q5=O5</f>
        <v>1</v>
      </c>
    </row>
    <row r="6" spans="3:18" x14ac:dyDescent="0.3">
      <c r="C6" s="20" t="s">
        <v>1</v>
      </c>
      <c r="D6" s="25" t="s">
        <v>52</v>
      </c>
      <c r="E6" s="85">
        <f>+IO_sub_model!E151</f>
        <v>7.4164705882352928</v>
      </c>
      <c r="F6" s="86">
        <f>+IO_sub_model!F151</f>
        <v>3.6423529411764681</v>
      </c>
      <c r="G6" s="86">
        <f>+IO_sub_model!G151</f>
        <v>8.2164705882352944</v>
      </c>
      <c r="H6" s="86">
        <f>+IO_sub_model!H151</f>
        <v>4.668235294117645</v>
      </c>
      <c r="I6" s="86">
        <f>+IO_sub_model!I151</f>
        <v>1.8258823529411781</v>
      </c>
      <c r="J6" s="86">
        <f>+IO_sub_model!J151</f>
        <v>9.1294117647058801</v>
      </c>
      <c r="K6" s="86">
        <f>+IO_sub_model!K151</f>
        <v>1.8164705882352958</v>
      </c>
      <c r="L6" s="86">
        <f>+IO_sub_model!L151</f>
        <v>4.7811764705882327</v>
      </c>
      <c r="M6" s="87">
        <f>+IO_sub_model!M151</f>
        <v>6.5035294117647098</v>
      </c>
      <c r="N6" s="24">
        <f t="shared" ref="N6:N13" si="0">+O6-SUM(E6:M6)</f>
        <v>4.219780219780219</v>
      </c>
      <c r="O6" s="138">
        <v>52.219780219780219</v>
      </c>
      <c r="P6" s="62">
        <v>48</v>
      </c>
      <c r="Q6" s="61">
        <f t="shared" ref="Q6:Q13" si="1">+P6+N6</f>
        <v>52.219780219780219</v>
      </c>
      <c r="R6" s="61" t="b">
        <f t="shared" ref="R6:R13" si="2">+Q6=O6</f>
        <v>1</v>
      </c>
    </row>
    <row r="7" spans="3:18" x14ac:dyDescent="0.3">
      <c r="C7" s="20" t="s">
        <v>1</v>
      </c>
      <c r="D7" s="25" t="s">
        <v>53</v>
      </c>
      <c r="E7" s="85">
        <f>+IO_sub_model!E152</f>
        <v>1.0153846153846147</v>
      </c>
      <c r="F7" s="86">
        <f>+IO_sub_model!F152</f>
        <v>0.44423076923076921</v>
      </c>
      <c r="G7" s="86">
        <f>+IO_sub_model!G152</f>
        <v>0.50769230769230789</v>
      </c>
      <c r="H7" s="86">
        <f>+IO_sub_model!H152</f>
        <v>6.7423076923076923</v>
      </c>
      <c r="I7" s="86">
        <f>+IO_sub_model!I152</f>
        <v>4.0249999999999995</v>
      </c>
      <c r="J7" s="86">
        <f>+IO_sub_model!J152</f>
        <v>3.5807692307692305</v>
      </c>
      <c r="K7" s="86">
        <f>+IO_sub_model!K152</f>
        <v>6.2980769230769234</v>
      </c>
      <c r="L7" s="86">
        <f>+IO_sub_model!L152</f>
        <v>3.8346153846153843</v>
      </c>
      <c r="M7" s="87">
        <f>+IO_sub_model!M152</f>
        <v>6.5519230769230781</v>
      </c>
      <c r="N7" s="24">
        <f t="shared" si="0"/>
        <v>11.624175824175829</v>
      </c>
      <c r="O7" s="138">
        <v>44.624175824175829</v>
      </c>
      <c r="P7" s="62">
        <v>33</v>
      </c>
      <c r="Q7" s="61">
        <f t="shared" si="1"/>
        <v>44.624175824175829</v>
      </c>
      <c r="R7" s="61" t="b">
        <f t="shared" si="2"/>
        <v>1</v>
      </c>
    </row>
    <row r="8" spans="3:18" x14ac:dyDescent="0.3">
      <c r="C8" s="20" t="s">
        <v>10</v>
      </c>
      <c r="D8" s="25" t="str">
        <f>+D5</f>
        <v>Agr</v>
      </c>
      <c r="E8" s="85">
        <f>+IO_sub_model!E153</f>
        <v>8.9406593406593391</v>
      </c>
      <c r="F8" s="86">
        <f>+IO_sub_model!F153</f>
        <v>5.5824175824175821</v>
      </c>
      <c r="G8" s="86">
        <f>+IO_sub_model!G153</f>
        <v>4.9406593406593418</v>
      </c>
      <c r="H8" s="86">
        <f>+IO_sub_model!H153</f>
        <v>6.9450549450549444</v>
      </c>
      <c r="I8" s="86">
        <f>+IO_sub_model!I153</f>
        <v>9.5824175824175803</v>
      </c>
      <c r="J8" s="86">
        <f>+IO_sub_model!J153</f>
        <v>8.5450549450549431</v>
      </c>
      <c r="K8" s="86">
        <f>+IO_sub_model!K153</f>
        <v>9.5824175824175821</v>
      </c>
      <c r="L8" s="86">
        <f>+IO_sub_model!L153</f>
        <v>9.1780219780219756</v>
      </c>
      <c r="M8" s="87">
        <f>+IO_sub_model!M153</f>
        <v>8.7032967032967044</v>
      </c>
      <c r="N8" s="24">
        <f t="shared" si="0"/>
        <v>5.8549450549450626</v>
      </c>
      <c r="O8" s="138">
        <v>77.854945054945063</v>
      </c>
      <c r="P8" s="62">
        <v>72</v>
      </c>
      <c r="Q8" s="61">
        <f t="shared" si="1"/>
        <v>77.854945054945063</v>
      </c>
      <c r="R8" s="61" t="b">
        <f t="shared" si="2"/>
        <v>1</v>
      </c>
    </row>
    <row r="9" spans="3:18" x14ac:dyDescent="0.3">
      <c r="C9" s="20" t="s">
        <v>10</v>
      </c>
      <c r="D9" s="25" t="str">
        <f t="shared" ref="D9:D13" si="3">+D6</f>
        <v>Ind</v>
      </c>
      <c r="E9" s="85">
        <f>+IO_sub_model!E154</f>
        <v>4</v>
      </c>
      <c r="F9" s="86">
        <f>+IO_sub_model!F154</f>
        <v>2.0000000000000013</v>
      </c>
      <c r="G9" s="86">
        <f>+IO_sub_model!G154</f>
        <v>3.0000000000000004</v>
      </c>
      <c r="H9" s="86">
        <f>+IO_sub_model!H154</f>
        <v>6</v>
      </c>
      <c r="I9" s="86">
        <f>+IO_sub_model!I154</f>
        <v>6.9999999999999973</v>
      </c>
      <c r="J9" s="86">
        <f>+IO_sub_model!J154</f>
        <v>4</v>
      </c>
      <c r="K9" s="86">
        <f>+IO_sub_model!K154</f>
        <v>8.9999999999999982</v>
      </c>
      <c r="L9" s="86">
        <f>+IO_sub_model!L154</f>
        <v>2.0000000000000018</v>
      </c>
      <c r="M9" s="87">
        <f>+IO_sub_model!M154</f>
        <v>7.9999999999999991</v>
      </c>
      <c r="N9" s="24">
        <f t="shared" si="0"/>
        <v>2.4725274725274602</v>
      </c>
      <c r="O9" s="138">
        <v>47.47252747252746</v>
      </c>
      <c r="P9" s="62">
        <v>45</v>
      </c>
      <c r="Q9" s="61">
        <f t="shared" si="1"/>
        <v>47.47252747252746</v>
      </c>
      <c r="R9" s="61" t="b">
        <f t="shared" si="2"/>
        <v>1</v>
      </c>
    </row>
    <row r="10" spans="3:18" x14ac:dyDescent="0.3">
      <c r="C10" s="20" t="s">
        <v>10</v>
      </c>
      <c r="D10" s="25" t="str">
        <f t="shared" si="3"/>
        <v>Serv</v>
      </c>
      <c r="E10" s="85">
        <f>+IO_sub_model!E155</f>
        <v>5.8769230769230765</v>
      </c>
      <c r="F10" s="86">
        <f>+IO_sub_model!F155</f>
        <v>4.4711538461538458</v>
      </c>
      <c r="G10" s="86">
        <f>+IO_sub_model!G155</f>
        <v>3.7384615384615385</v>
      </c>
      <c r="H10" s="86">
        <f>+IO_sub_model!H155</f>
        <v>2.0115384615384606</v>
      </c>
      <c r="I10" s="86">
        <f>+IO_sub_model!I155</f>
        <v>8.0749999999999993</v>
      </c>
      <c r="J10" s="86">
        <f>+IO_sub_model!J155</f>
        <v>2.0038461538461534</v>
      </c>
      <c r="K10" s="86">
        <f>+IO_sub_model!K155</f>
        <v>1.5403846153846152</v>
      </c>
      <c r="L10" s="86">
        <f>+IO_sub_model!L155</f>
        <v>5.4730769230769232</v>
      </c>
      <c r="M10" s="87">
        <f>+IO_sub_model!M155</f>
        <v>1.8096153846153853</v>
      </c>
      <c r="N10" s="24">
        <f t="shared" si="0"/>
        <v>17.219780219780212</v>
      </c>
      <c r="O10" s="138">
        <v>52.219780219780205</v>
      </c>
      <c r="P10" s="62">
        <v>34.999999999999993</v>
      </c>
      <c r="Q10" s="61">
        <f t="shared" si="1"/>
        <v>52.219780219780205</v>
      </c>
      <c r="R10" s="61" t="b">
        <f t="shared" si="2"/>
        <v>1</v>
      </c>
    </row>
    <row r="11" spans="3:18" x14ac:dyDescent="0.3">
      <c r="C11" s="20" t="s">
        <v>11</v>
      </c>
      <c r="D11" s="25" t="str">
        <f t="shared" si="3"/>
        <v>Agr</v>
      </c>
      <c r="E11" s="85">
        <f>+IO_sub_model!E156</f>
        <v>3.9472527472527466</v>
      </c>
      <c r="F11" s="86">
        <f>+IO_sub_model!F156</f>
        <v>9.4065934065934069</v>
      </c>
      <c r="G11" s="86">
        <f>+IO_sub_model!G156</f>
        <v>7.9472527472527492</v>
      </c>
      <c r="H11" s="86">
        <f>+IO_sub_model!H156</f>
        <v>8.395604395604396</v>
      </c>
      <c r="I11" s="86">
        <f>+IO_sub_model!I156</f>
        <v>9.4065934065934051</v>
      </c>
      <c r="J11" s="86">
        <f>+IO_sub_model!J156</f>
        <v>1.1956043956043947</v>
      </c>
      <c r="K11" s="86">
        <f>+IO_sub_model!K156</f>
        <v>7.0065934065934066</v>
      </c>
      <c r="L11" s="86">
        <f>+IO_sub_model!L156</f>
        <v>8.9582417582417566</v>
      </c>
      <c r="M11" s="87">
        <f>+IO_sub_model!M156</f>
        <v>7.736263736263739</v>
      </c>
      <c r="N11" s="24">
        <f t="shared" si="0"/>
        <v>11.006593406593396</v>
      </c>
      <c r="O11" s="138">
        <v>75.006593406593396</v>
      </c>
      <c r="P11" s="62">
        <v>64</v>
      </c>
      <c r="Q11" s="61">
        <f t="shared" si="1"/>
        <v>75.006593406593396</v>
      </c>
      <c r="R11" s="61" t="b">
        <f t="shared" si="2"/>
        <v>1</v>
      </c>
    </row>
    <row r="12" spans="3:18" x14ac:dyDescent="0.3">
      <c r="C12" s="20" t="s">
        <v>11</v>
      </c>
      <c r="D12" s="25" t="str">
        <f t="shared" si="3"/>
        <v>Ind</v>
      </c>
      <c r="E12" s="85">
        <f>+IO_sub_model!E157</f>
        <v>1.583529411764705</v>
      </c>
      <c r="F12" s="86">
        <f>+IO_sub_model!F157</f>
        <v>7.3576470588235283</v>
      </c>
      <c r="G12" s="86">
        <f>+IO_sub_model!G157</f>
        <v>0.78352941176470658</v>
      </c>
      <c r="H12" s="86">
        <f>+IO_sub_model!H157</f>
        <v>8.3317647058823514</v>
      </c>
      <c r="I12" s="86">
        <f>+IO_sub_model!I157</f>
        <v>0.17411764705882471</v>
      </c>
      <c r="J12" s="86">
        <f>+IO_sub_model!J157</f>
        <v>0.87058823529411655</v>
      </c>
      <c r="K12" s="86">
        <f>+IO_sub_model!K157</f>
        <v>7.1835294117647077</v>
      </c>
      <c r="L12" s="86">
        <f>+IO_sub_model!L157</f>
        <v>9.2188235294117629</v>
      </c>
      <c r="M12" s="87">
        <f>+IO_sub_model!M157</f>
        <v>1.4964705882352967</v>
      </c>
      <c r="N12" s="24">
        <f t="shared" si="0"/>
        <v>24.714285714285687</v>
      </c>
      <c r="O12" s="138">
        <v>61.714285714285694</v>
      </c>
      <c r="P12" s="62">
        <v>37.000000000000007</v>
      </c>
      <c r="Q12" s="61">
        <f t="shared" si="1"/>
        <v>61.714285714285694</v>
      </c>
      <c r="R12" s="61" t="b">
        <f t="shared" si="2"/>
        <v>1</v>
      </c>
    </row>
    <row r="13" spans="3:18" x14ac:dyDescent="0.3">
      <c r="C13" s="20" t="s">
        <v>11</v>
      </c>
      <c r="D13" s="25" t="str">
        <f t="shared" si="3"/>
        <v>Serv</v>
      </c>
      <c r="E13" s="88">
        <f>+IO_sub_model!E158</f>
        <v>9.1076923076923073</v>
      </c>
      <c r="F13" s="89">
        <f>+IO_sub_model!F158</f>
        <v>2.0846153846153848</v>
      </c>
      <c r="G13" s="89">
        <f>+IO_sub_model!G158</f>
        <v>3.7538461538461538</v>
      </c>
      <c r="H13" s="89">
        <f>+IO_sub_model!H158</f>
        <v>9.2461538461538453</v>
      </c>
      <c r="I13" s="89">
        <f>+IO_sub_model!I158</f>
        <v>0.89999999999999913</v>
      </c>
      <c r="J13" s="89">
        <f>+IO_sub_model!J158</f>
        <v>0.41538461538461496</v>
      </c>
      <c r="K13" s="89">
        <f>+IO_sub_model!K158</f>
        <v>3.1615384615384614</v>
      </c>
      <c r="L13" s="89">
        <f>+IO_sub_model!L158</f>
        <v>0.6923076923076914</v>
      </c>
      <c r="M13" s="90">
        <f>+IO_sub_model!M158</f>
        <v>6.6384615384615397</v>
      </c>
      <c r="N13" s="24">
        <f t="shared" si="0"/>
        <v>20.967032967032985</v>
      </c>
      <c r="O13" s="139">
        <v>56.967032967032978</v>
      </c>
      <c r="P13" s="62">
        <v>36</v>
      </c>
      <c r="Q13" s="61">
        <f t="shared" si="1"/>
        <v>56.967032967032985</v>
      </c>
      <c r="R13" s="61" t="b">
        <f t="shared" si="2"/>
        <v>1</v>
      </c>
    </row>
    <row r="14" spans="3:18" x14ac:dyDescent="0.3">
      <c r="D14" s="22" t="s">
        <v>9</v>
      </c>
      <c r="E14" s="13">
        <f>+E15-SUM(E5:E13)</f>
        <v>17.523076923076928</v>
      </c>
      <c r="F14" s="13">
        <f t="shared" ref="F14:M14" si="4">+F15-SUM(F5:F13)</f>
        <v>13.230769230769234</v>
      </c>
      <c r="G14" s="13">
        <f t="shared" si="4"/>
        <v>3.7362637362637372</v>
      </c>
      <c r="H14" s="13">
        <f t="shared" si="4"/>
        <v>24.71428571428573</v>
      </c>
      <c r="I14" s="13">
        <f t="shared" si="4"/>
        <v>6.4835164835164818</v>
      </c>
      <c r="J14" s="13">
        <f t="shared" si="4"/>
        <v>16.079120879120872</v>
      </c>
      <c r="K14" s="13">
        <f t="shared" si="4"/>
        <v>27.017582417582403</v>
      </c>
      <c r="L14" s="13">
        <f t="shared" si="4"/>
        <v>11.978021978021964</v>
      </c>
      <c r="M14" s="13">
        <f t="shared" si="4"/>
        <v>7.9274725274725242</v>
      </c>
      <c r="N14" s="19">
        <f>+SUM(E5:M13)</f>
        <v>406.7999999999999</v>
      </c>
      <c r="R14" s="18"/>
    </row>
    <row r="15" spans="3:18" x14ac:dyDescent="0.3">
      <c r="D15" s="20" t="s">
        <v>8</v>
      </c>
      <c r="E15" s="130" cm="1">
        <f t="array" ref="E15:M15">+IO_sub_model!E184:M184</f>
        <v>67.410989010989013</v>
      </c>
      <c r="F15" s="131">
        <v>52.219780219780219</v>
      </c>
      <c r="G15" s="131">
        <v>44.624175824175829</v>
      </c>
      <c r="H15" s="131">
        <v>77.854945054945063</v>
      </c>
      <c r="I15" s="131">
        <v>47.47252747252746</v>
      </c>
      <c r="J15" s="131">
        <v>52.219780219780205</v>
      </c>
      <c r="K15" s="131">
        <v>75.006593406593396</v>
      </c>
      <c r="L15" s="131">
        <v>61.714285714285694</v>
      </c>
      <c r="M15" s="132">
        <v>56.967032967032978</v>
      </c>
      <c r="R15" s="18"/>
    </row>
    <row r="16" spans="3:18" x14ac:dyDescent="0.3">
      <c r="E16" s="97" cm="1">
        <f t="array" ref="E16:M16">+TRANSPOSE(O5:O13)</f>
        <v>67.410989010989013</v>
      </c>
      <c r="F16" s="97">
        <v>52.219780219780219</v>
      </c>
      <c r="G16" s="97">
        <v>44.624175824175829</v>
      </c>
      <c r="H16" s="97">
        <v>77.854945054945063</v>
      </c>
      <c r="I16" s="97">
        <v>47.47252747252746</v>
      </c>
      <c r="J16" s="97">
        <v>52.219780219780205</v>
      </c>
      <c r="K16" s="97">
        <v>75.006593406593396</v>
      </c>
      <c r="L16" s="97">
        <v>61.714285714285694</v>
      </c>
      <c r="M16" s="97">
        <v>56.967032967032978</v>
      </c>
      <c r="R16" s="18"/>
    </row>
    <row r="17" spans="3:18" x14ac:dyDescent="0.3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3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" thickBot="1" x14ac:dyDescent="0.35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" thickBot="1" x14ac:dyDescent="0.35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3">
      <c r="C21" s="20" t="s">
        <v>1</v>
      </c>
      <c r="D21" s="28" t="s">
        <v>51</v>
      </c>
      <c r="E21" s="82">
        <f>+IO_sub_model!E200</f>
        <v>0.11867501304121023</v>
      </c>
      <c r="F21" s="83">
        <f>+IO_sub_model!F200</f>
        <v>7.6599326599326598E-2</v>
      </c>
      <c r="G21" s="83">
        <f>+IO_sub_model!G200</f>
        <v>0.1792750197005516</v>
      </c>
      <c r="H21" s="83">
        <f>+IO_sub_model!H200</f>
        <v>1.0275519421860885E-2</v>
      </c>
      <c r="I21" s="83">
        <f>+IO_sub_model!I200</f>
        <v>0</v>
      </c>
      <c r="J21" s="83">
        <f>+IO_sub_model!J200</f>
        <v>0.1225589225589226</v>
      </c>
      <c r="K21" s="83">
        <f>+IO_sub_model!K200</f>
        <v>3.1997187060478209E-2</v>
      </c>
      <c r="L21" s="83">
        <f>+IO_sub_model!L200</f>
        <v>9.0740740740740775E-2</v>
      </c>
      <c r="M21" s="84">
        <f>+IO_sub_model!M200</f>
        <v>2.8086419753086418E-2</v>
      </c>
    </row>
    <row r="22" spans="3:18" x14ac:dyDescent="0.3">
      <c r="C22" s="20" t="s">
        <v>1</v>
      </c>
      <c r="D22" s="25" t="s">
        <v>52</v>
      </c>
      <c r="E22" s="85">
        <f>+IO_sub_model!E201</f>
        <v>0.11001871797232193</v>
      </c>
      <c r="F22" s="86">
        <f>+IO_sub_model!F201</f>
        <v>6.975044563279853E-2</v>
      </c>
      <c r="G22" s="86">
        <f>+IO_sub_model!G201</f>
        <v>0.18412599082186065</v>
      </c>
      <c r="H22" s="86">
        <f>+IO_sub_model!H201</f>
        <v>5.9960678038152901E-2</v>
      </c>
      <c r="I22" s="86">
        <f>+IO_sub_model!I201</f>
        <v>3.8461873638344267E-2</v>
      </c>
      <c r="J22" s="86">
        <f>+IO_sub_model!J201</f>
        <v>0.17482669835611012</v>
      </c>
      <c r="K22" s="86">
        <f>+IO_sub_model!K201</f>
        <v>2.4217478834009015E-2</v>
      </c>
      <c r="L22" s="86">
        <f>+IO_sub_model!L201</f>
        <v>7.7472766884531571E-2</v>
      </c>
      <c r="M22" s="87">
        <f>+IO_sub_model!M201</f>
        <v>0.11416303558460426</v>
      </c>
    </row>
    <row r="23" spans="3:18" x14ac:dyDescent="0.3">
      <c r="C23" s="20" t="s">
        <v>1</v>
      </c>
      <c r="D23" s="25" t="s">
        <v>53</v>
      </c>
      <c r="E23" s="85">
        <f>+IO_sub_model!E202</f>
        <v>1.5062597809076671E-2</v>
      </c>
      <c r="F23" s="86">
        <f>+IO_sub_model!F202</f>
        <v>8.5069444444444437E-3</v>
      </c>
      <c r="G23" s="86">
        <f>+IO_sub_model!G202</f>
        <v>1.1377068557919624E-2</v>
      </c>
      <c r="H23" s="86">
        <f>+IO_sub_model!H202</f>
        <v>8.6600892050587158E-2</v>
      </c>
      <c r="I23" s="86">
        <f>+IO_sub_model!I202</f>
        <v>8.4785879629629635E-2</v>
      </c>
      <c r="J23" s="86">
        <f>+IO_sub_model!J202</f>
        <v>6.8571127946127963E-2</v>
      </c>
      <c r="K23" s="86">
        <f>+IO_sub_model!K202</f>
        <v>8.3966977262072209E-2</v>
      </c>
      <c r="L23" s="86">
        <f>+IO_sub_model!L202</f>
        <v>6.2134971509971527E-2</v>
      </c>
      <c r="M23" s="87">
        <f>+IO_sub_model!M202</f>
        <v>0.11501253858024692</v>
      </c>
    </row>
    <row r="24" spans="3:18" x14ac:dyDescent="0.3">
      <c r="C24" s="20" t="s">
        <v>10</v>
      </c>
      <c r="D24" s="25" t="str">
        <f>+D21</f>
        <v>Agr</v>
      </c>
      <c r="E24" s="85">
        <f>+IO_sub_model!E203</f>
        <v>0.13262910798122063</v>
      </c>
      <c r="F24" s="86">
        <f>+IO_sub_model!F203</f>
        <v>0.1069023569023569</v>
      </c>
      <c r="G24" s="86">
        <f>+IO_sub_model!G203</f>
        <v>0.11071710007880221</v>
      </c>
      <c r="H24" s="86">
        <f>+IO_sub_model!H203</f>
        <v>8.9205058717253816E-2</v>
      </c>
      <c r="I24" s="86">
        <f>+IO_sub_model!I203</f>
        <v>0.20185185185185187</v>
      </c>
      <c r="J24" s="86">
        <f>+IO_sub_model!J203</f>
        <v>0.16363636363636364</v>
      </c>
      <c r="K24" s="86">
        <f>+IO_sub_model!K203</f>
        <v>0.12775433661509614</v>
      </c>
      <c r="L24" s="86">
        <f>+IO_sub_model!L203</f>
        <v>0.14871794871794872</v>
      </c>
      <c r="M24" s="87">
        <f>+IO_sub_model!M203</f>
        <v>0.15277777777777776</v>
      </c>
    </row>
    <row r="25" spans="3:18" x14ac:dyDescent="0.3">
      <c r="C25" s="20" t="s">
        <v>10</v>
      </c>
      <c r="D25" s="25" t="str">
        <f t="shared" ref="D25:D29" si="6">+D22</f>
        <v>Ind</v>
      </c>
      <c r="E25" s="85">
        <f>+IO_sub_model!E204</f>
        <v>5.9337506520605113E-2</v>
      </c>
      <c r="F25" s="86">
        <f>+IO_sub_model!F204</f>
        <v>3.8299663299663327E-2</v>
      </c>
      <c r="G25" s="86">
        <f>+IO_sub_model!G204</f>
        <v>6.7228132387706863E-2</v>
      </c>
      <c r="H25" s="86">
        <f>+IO_sub_model!H204</f>
        <v>7.7066395663956636E-2</v>
      </c>
      <c r="I25" s="86">
        <f>+IO_sub_model!I204</f>
        <v>0.1474537037037037</v>
      </c>
      <c r="J25" s="86">
        <f>+IO_sub_model!J204</f>
        <v>7.6599326599326625E-2</v>
      </c>
      <c r="K25" s="86">
        <f>+IO_sub_model!K204</f>
        <v>0.11998945147679324</v>
      </c>
      <c r="L25" s="86">
        <f>+IO_sub_model!L204</f>
        <v>3.2407407407407447E-2</v>
      </c>
      <c r="M25" s="87">
        <f>+IO_sub_model!M204</f>
        <v>0.14043209876543206</v>
      </c>
    </row>
    <row r="26" spans="3:18" x14ac:dyDescent="0.3">
      <c r="C26" s="20" t="s">
        <v>10</v>
      </c>
      <c r="D26" s="25" t="str">
        <f t="shared" si="6"/>
        <v>Serv</v>
      </c>
      <c r="E26" s="85">
        <f>+IO_sub_model!E205</f>
        <v>8.7180490349504425E-2</v>
      </c>
      <c r="F26" s="86">
        <f>+IO_sub_model!F205</f>
        <v>8.5621843434343425E-2</v>
      </c>
      <c r="G26" s="86">
        <f>+IO_sub_model!G205</f>
        <v>8.377659574468084E-2</v>
      </c>
      <c r="H26" s="86">
        <f>+IO_sub_model!H205</f>
        <v>2.583700316169827E-2</v>
      </c>
      <c r="I26" s="86">
        <f>+IO_sub_model!I205</f>
        <v>0.17009837962962965</v>
      </c>
      <c r="J26" s="86">
        <f>+IO_sub_model!J205</f>
        <v>3.8373316498316504E-2</v>
      </c>
      <c r="K26" s="86">
        <f>+IO_sub_model!K205</f>
        <v>2.0536656118143461E-2</v>
      </c>
      <c r="L26" s="86">
        <f>+IO_sub_model!L205</f>
        <v>8.8684116809116836E-2</v>
      </c>
      <c r="M26" s="87">
        <f>+IO_sub_model!M205</f>
        <v>3.1766010802469144E-2</v>
      </c>
    </row>
    <row r="27" spans="3:18" x14ac:dyDescent="0.3">
      <c r="C27" s="20" t="s">
        <v>11</v>
      </c>
      <c r="D27" s="25" t="str">
        <f t="shared" si="6"/>
        <v>Agr</v>
      </c>
      <c r="E27" s="85">
        <f>+IO_sub_model!E206</f>
        <v>5.8555033907146573E-2</v>
      </c>
      <c r="F27" s="86">
        <f>+IO_sub_model!F206</f>
        <v>0.18013468013468015</v>
      </c>
      <c r="G27" s="86">
        <f>+IO_sub_model!G206</f>
        <v>0.17809298660362494</v>
      </c>
      <c r="H27" s="86">
        <f>+IO_sub_model!H206</f>
        <v>0.10783649503161698</v>
      </c>
      <c r="I27" s="86">
        <f>+IO_sub_model!I206</f>
        <v>0.19814814814814816</v>
      </c>
      <c r="J27" s="86">
        <f>+IO_sub_model!J206</f>
        <v>2.2895622895622886E-2</v>
      </c>
      <c r="K27" s="86">
        <f>+IO_sub_model!K206</f>
        <v>9.3413033286451022E-2</v>
      </c>
      <c r="L27" s="86">
        <f>+IO_sub_model!L206</f>
        <v>0.14515669515669519</v>
      </c>
      <c r="M27" s="87">
        <f>+IO_sub_model!M206</f>
        <v>0.13580246913580249</v>
      </c>
    </row>
    <row r="28" spans="3:18" x14ac:dyDescent="0.3">
      <c r="C28" s="20" t="s">
        <v>11</v>
      </c>
      <c r="D28" s="25" t="str">
        <f t="shared" si="6"/>
        <v>Ind</v>
      </c>
      <c r="E28" s="85">
        <f>+IO_sub_model!E207</f>
        <v>2.3490671699039539E-2</v>
      </c>
      <c r="F28" s="86">
        <f>+IO_sub_model!F207</f>
        <v>0.14089770251534955</v>
      </c>
      <c r="G28" s="86">
        <f>+IO_sub_model!G207</f>
        <v>1.7558406341259922E-2</v>
      </c>
      <c r="H28" s="86">
        <f>+IO_sub_model!H207</f>
        <v>0.10701651256708643</v>
      </c>
      <c r="I28" s="86">
        <f>+IO_sub_model!I207</f>
        <v>3.6677559912854287E-3</v>
      </c>
      <c r="J28" s="86">
        <f>+IO_sub_model!J207</f>
        <v>1.667161814220636E-2</v>
      </c>
      <c r="K28" s="86">
        <f>+IO_sub_model!K207</f>
        <v>9.5771972642784295E-2</v>
      </c>
      <c r="L28" s="86">
        <f>+IO_sub_model!L207</f>
        <v>0.14937908496732027</v>
      </c>
      <c r="M28" s="87">
        <f>+IO_sub_model!M207</f>
        <v>2.6269063180827928E-2</v>
      </c>
    </row>
    <row r="29" spans="3:18" x14ac:dyDescent="0.3">
      <c r="C29" s="20" t="s">
        <v>11</v>
      </c>
      <c r="D29" s="25" t="str">
        <f t="shared" si="6"/>
        <v>Serv</v>
      </c>
      <c r="E29" s="88">
        <f>+IO_sub_model!E208</f>
        <v>0.13510693792383932</v>
      </c>
      <c r="F29" s="89">
        <f>+IO_sub_model!F208</f>
        <v>3.9920033670033675E-2</v>
      </c>
      <c r="G29" s="89">
        <f>+IO_sub_model!G208</f>
        <v>8.4121355397951139E-2</v>
      </c>
      <c r="H29" s="89">
        <f>+IO_sub_model!H208</f>
        <v>0.11876129177958444</v>
      </c>
      <c r="I29" s="89">
        <f>+IO_sub_model!I208</f>
        <v>1.895833333333332E-2</v>
      </c>
      <c r="J29" s="89">
        <f>+IO_sub_model!J208</f>
        <v>7.9545454545454485E-3</v>
      </c>
      <c r="K29" s="89">
        <f>+IO_sub_model!K208</f>
        <v>4.2150140646976093E-2</v>
      </c>
      <c r="L29" s="89">
        <f>+IO_sub_model!L208</f>
        <v>1.1217948717948708E-2</v>
      </c>
      <c r="M29" s="90">
        <f>+IO_sub_model!M208</f>
        <v>0.11653163580246914</v>
      </c>
    </row>
    <row r="30" spans="3:18" x14ac:dyDescent="0.3">
      <c r="D30" s="22" t="s">
        <v>9</v>
      </c>
      <c r="E30" s="13">
        <f t="shared" ref="E30:M30" si="7">+E14/E$15</f>
        <v>0.25994392279603556</v>
      </c>
      <c r="F30" s="14">
        <f t="shared" si="7"/>
        <v>0.25336700336700341</v>
      </c>
      <c r="G30" s="14">
        <f t="shared" si="7"/>
        <v>8.3727344365642248E-2</v>
      </c>
      <c r="H30" s="14">
        <f t="shared" si="7"/>
        <v>0.31744015356820249</v>
      </c>
      <c r="I30" s="14">
        <f t="shared" si="7"/>
        <v>0.13657407407407407</v>
      </c>
      <c r="J30" s="14">
        <f t="shared" si="7"/>
        <v>0.30791245791245786</v>
      </c>
      <c r="K30" s="14">
        <f t="shared" si="7"/>
        <v>0.36020276605719631</v>
      </c>
      <c r="L30" s="14">
        <f t="shared" si="7"/>
        <v>0.19408831908831892</v>
      </c>
      <c r="M30" s="15">
        <f t="shared" si="7"/>
        <v>0.13915895061728387</v>
      </c>
    </row>
    <row r="31" spans="3:18" x14ac:dyDescent="0.3">
      <c r="D31" s="20" t="s">
        <v>8</v>
      </c>
      <c r="E31" s="13">
        <f t="shared" ref="E31:M31" si="8">SUM(E21:E30)</f>
        <v>1</v>
      </c>
      <c r="F31" s="14">
        <f t="shared" si="8"/>
        <v>1</v>
      </c>
      <c r="G31" s="14">
        <f t="shared" si="8"/>
        <v>1.0000000000000002</v>
      </c>
      <c r="H31" s="14">
        <f t="shared" si="8"/>
        <v>1</v>
      </c>
      <c r="I31" s="14">
        <f t="shared" si="8"/>
        <v>1</v>
      </c>
      <c r="J31" s="14">
        <f t="shared" si="8"/>
        <v>1.0000000000000002</v>
      </c>
      <c r="K31" s="14">
        <f t="shared" si="8"/>
        <v>1</v>
      </c>
      <c r="L31" s="14">
        <f t="shared" si="8"/>
        <v>0.99999999999999978</v>
      </c>
      <c r="M31" s="15">
        <f t="shared" si="8"/>
        <v>1</v>
      </c>
    </row>
    <row r="34" spans="3:18" ht="15" thickBot="1" x14ac:dyDescent="0.35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3:18" ht="15" thickBot="1" x14ac:dyDescent="0.35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3:18" x14ac:dyDescent="0.3">
      <c r="C36" s="20" t="s">
        <v>1</v>
      </c>
      <c r="D36" s="28" t="s">
        <v>51</v>
      </c>
      <c r="E36" s="1" cm="1">
        <f t="array" ref="E36:M44">+MINVERSE(_xlfn.MUNIT(COUNTA($D$36:$D$44))-E21:M29)</f>
        <v>1.3054594043393777</v>
      </c>
      <c r="F36" s="2">
        <v>0.26348040523653982</v>
      </c>
      <c r="G36" s="2">
        <v>0.40818898954806526</v>
      </c>
      <c r="H36" s="2">
        <v>0.187744682511089</v>
      </c>
      <c r="I36" s="2">
        <v>0.2097015211627474</v>
      </c>
      <c r="J36" s="2">
        <v>0.30395017603799007</v>
      </c>
      <c r="K36" s="2">
        <v>0.19529658202551634</v>
      </c>
      <c r="L36" s="2">
        <v>0.3021283172166685</v>
      </c>
      <c r="M36" s="3">
        <v>0.24442071152272193</v>
      </c>
      <c r="N36" s="16"/>
    </row>
    <row r="37" spans="3:18" x14ac:dyDescent="0.3">
      <c r="C37" s="20" t="s">
        <v>1</v>
      </c>
      <c r="D37" s="25" t="s">
        <v>52</v>
      </c>
      <c r="E37" s="5">
        <v>0.3694966881991173</v>
      </c>
      <c r="F37" s="6">
        <v>1.3141596899522821</v>
      </c>
      <c r="G37" s="6">
        <v>0.48824442963605275</v>
      </c>
      <c r="H37" s="6">
        <v>0.3005782616083576</v>
      </c>
      <c r="I37" s="6">
        <v>0.32908342393521317</v>
      </c>
      <c r="J37" s="6">
        <v>0.41349826770333792</v>
      </c>
      <c r="K37" s="6">
        <v>0.24480937612367404</v>
      </c>
      <c r="L37" s="6">
        <v>0.35018543593099194</v>
      </c>
      <c r="M37" s="7">
        <v>0.41232493529669106</v>
      </c>
      <c r="N37" s="16"/>
    </row>
    <row r="38" spans="3:18" x14ac:dyDescent="0.3">
      <c r="C38" s="20" t="s">
        <v>1</v>
      </c>
      <c r="D38" s="25" t="s">
        <v>53</v>
      </c>
      <c r="E38" s="5">
        <v>0.20843503312649037</v>
      </c>
      <c r="F38" s="6">
        <v>0.19873270024282719</v>
      </c>
      <c r="G38" s="6">
        <v>1.2383542602085484</v>
      </c>
      <c r="H38" s="6">
        <v>0.27267592468564772</v>
      </c>
      <c r="I38" s="6">
        <v>0.31212778312458855</v>
      </c>
      <c r="J38" s="6">
        <v>0.23579115353528282</v>
      </c>
      <c r="K38" s="6">
        <v>0.25633317733578126</v>
      </c>
      <c r="L38" s="6">
        <v>0.26324634960322157</v>
      </c>
      <c r="M38" s="7">
        <v>0.34599544352122769</v>
      </c>
      <c r="N38" s="16"/>
    </row>
    <row r="39" spans="3:18" x14ac:dyDescent="0.3">
      <c r="C39" s="20" t="s">
        <v>10</v>
      </c>
      <c r="D39" s="25" t="str">
        <f>+D36</f>
        <v>Agr</v>
      </c>
      <c r="E39" s="5">
        <v>0.53718634199809034</v>
      </c>
      <c r="F39" s="6">
        <v>0.50426202873045523</v>
      </c>
      <c r="G39" s="6">
        <v>0.59853673090179271</v>
      </c>
      <c r="H39" s="6">
        <v>1.4734649379110709</v>
      </c>
      <c r="I39" s="6">
        <v>0.66712378468672917</v>
      </c>
      <c r="J39" s="6">
        <v>0.53350191440655126</v>
      </c>
      <c r="K39" s="6">
        <v>0.48621674473859527</v>
      </c>
      <c r="L39" s="6">
        <v>0.57691173691755904</v>
      </c>
      <c r="M39" s="7">
        <v>0.63208243948812559</v>
      </c>
      <c r="N39" s="16"/>
    </row>
    <row r="40" spans="3:18" x14ac:dyDescent="0.3">
      <c r="C40" s="20" t="s">
        <v>10</v>
      </c>
      <c r="D40" s="25" t="str">
        <f t="shared" ref="D40:D44" si="9">+D37</f>
        <v>Ind</v>
      </c>
      <c r="E40" s="5">
        <v>0.32345808496720507</v>
      </c>
      <c r="F40" s="6">
        <v>0.29054864525465185</v>
      </c>
      <c r="G40" s="6">
        <v>0.38347990332731507</v>
      </c>
      <c r="H40" s="6">
        <v>0.32884203820484526</v>
      </c>
      <c r="I40" s="6">
        <v>1.4579857656059145</v>
      </c>
      <c r="J40" s="6">
        <v>0.31095330475698446</v>
      </c>
      <c r="K40" s="6">
        <v>0.35427378512470303</v>
      </c>
      <c r="L40" s="6">
        <v>0.30097431234265409</v>
      </c>
      <c r="M40" s="7">
        <v>0.46095907840007078</v>
      </c>
      <c r="N40" s="16"/>
    </row>
    <row r="41" spans="3:18" x14ac:dyDescent="0.3">
      <c r="C41" s="20" t="s">
        <v>10</v>
      </c>
      <c r="D41" s="25" t="str">
        <f t="shared" si="9"/>
        <v>Serv</v>
      </c>
      <c r="E41" s="5">
        <v>0.28316783986434535</v>
      </c>
      <c r="F41" s="6">
        <v>0.27598053614490964</v>
      </c>
      <c r="G41" s="6">
        <v>0.32235897340212527</v>
      </c>
      <c r="H41" s="6">
        <v>0.21436035106254905</v>
      </c>
      <c r="I41" s="6">
        <v>0.39465154869632441</v>
      </c>
      <c r="J41" s="6">
        <v>1.2292612780176282</v>
      </c>
      <c r="K41" s="6">
        <v>0.20151360136224952</v>
      </c>
      <c r="L41" s="6">
        <v>0.29751842515604249</v>
      </c>
      <c r="M41" s="7">
        <v>0.27045316555171683</v>
      </c>
      <c r="N41" s="16"/>
    </row>
    <row r="42" spans="3:18" x14ac:dyDescent="0.3">
      <c r="C42" s="20" t="s">
        <v>11</v>
      </c>
      <c r="D42" s="25" t="str">
        <f t="shared" si="9"/>
        <v>Agr</v>
      </c>
      <c r="E42" s="5">
        <v>0.4291759343014166</v>
      </c>
      <c r="F42" s="6">
        <v>0.54016575988858029</v>
      </c>
      <c r="G42" s="6">
        <v>0.62387039917518894</v>
      </c>
      <c r="H42" s="6">
        <v>0.47350280341638112</v>
      </c>
      <c r="I42" s="6">
        <v>0.62201239802777064</v>
      </c>
      <c r="J42" s="6">
        <v>0.37587659831850906</v>
      </c>
      <c r="K42" s="6">
        <v>1.4325221566471611</v>
      </c>
      <c r="L42" s="6">
        <v>0.5385277834748845</v>
      </c>
      <c r="M42" s="7">
        <v>0.59514510872685145</v>
      </c>
      <c r="N42" s="16"/>
    </row>
    <row r="43" spans="3:18" x14ac:dyDescent="0.3">
      <c r="C43" s="20" t="s">
        <v>11</v>
      </c>
      <c r="D43" s="25" t="str">
        <f t="shared" si="9"/>
        <v>Ind</v>
      </c>
      <c r="E43" s="5">
        <v>0.2349484088859046</v>
      </c>
      <c r="F43" s="6">
        <v>0.36694278467934122</v>
      </c>
      <c r="G43" s="6">
        <v>0.2813316376581268</v>
      </c>
      <c r="H43" s="6">
        <v>0.31423227647647956</v>
      </c>
      <c r="I43" s="6">
        <v>0.24195296741902336</v>
      </c>
      <c r="J43" s="6">
        <v>0.22273644808716211</v>
      </c>
      <c r="K43" s="6">
        <v>0.28572124440492241</v>
      </c>
      <c r="L43" s="6">
        <v>1.3944446956195773</v>
      </c>
      <c r="M43" s="7">
        <v>0.27770134643755728</v>
      </c>
      <c r="N43" s="16"/>
    </row>
    <row r="44" spans="3:18" x14ac:dyDescent="0.3">
      <c r="C44" s="20" t="s">
        <v>11</v>
      </c>
      <c r="D44" s="25" t="str">
        <f t="shared" si="9"/>
        <v>Serv</v>
      </c>
      <c r="E44" s="9">
        <v>0.34134542831764053</v>
      </c>
      <c r="F44" s="10">
        <v>0.22553363290877362</v>
      </c>
      <c r="G44" s="10">
        <v>0.32732522445354789</v>
      </c>
      <c r="H44" s="10">
        <v>0.30189633216029205</v>
      </c>
      <c r="I44" s="10">
        <v>0.2339264591980395</v>
      </c>
      <c r="J44" s="10">
        <v>0.19783657912119845</v>
      </c>
      <c r="K44" s="10">
        <v>0.21208586360029927</v>
      </c>
      <c r="L44" s="10">
        <v>0.21718139878593781</v>
      </c>
      <c r="M44" s="11">
        <v>1.3500727106841375</v>
      </c>
      <c r="N44" s="16"/>
    </row>
    <row r="45" spans="3:18" ht="15" thickBot="1" x14ac:dyDescent="0.35"/>
    <row r="46" spans="3:18" ht="15" thickBot="1" x14ac:dyDescent="0.35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3:18" x14ac:dyDescent="0.3">
      <c r="C47" s="22" t="s">
        <v>1</v>
      </c>
      <c r="D47" s="28" t="s">
        <v>51</v>
      </c>
      <c r="E47" s="32"/>
      <c r="F47" s="35"/>
      <c r="G47" s="1"/>
      <c r="H47" s="84" cm="1">
        <f t="array" ref="H47:H55">+N5:N13</f>
        <v>30.610989010989009</v>
      </c>
      <c r="J47" s="22" t="s">
        <v>1</v>
      </c>
      <c r="K47" s="28" t="s">
        <v>51</v>
      </c>
      <c r="L47" s="32">
        <v>0</v>
      </c>
      <c r="M47" s="35">
        <f>1-L47%</f>
        <v>1</v>
      </c>
      <c r="N47" s="1" cm="1">
        <f t="array" ref="N47:N55">+_xlfn.ANCHORARRAY(O5)</f>
        <v>67.410989010989013</v>
      </c>
      <c r="O47" s="3" cm="1">
        <f t="array" ref="O47:O55">+_xlfn.ANCHORARRAY(O5)</f>
        <v>67.410989010989013</v>
      </c>
      <c r="P47" s="18"/>
      <c r="Q47" s="18"/>
      <c r="R47" s="18"/>
    </row>
    <row r="48" spans="3:18" x14ac:dyDescent="0.3">
      <c r="C48" s="20" t="s">
        <v>1</v>
      </c>
      <c r="D48" s="25" t="s">
        <v>52</v>
      </c>
      <c r="E48" s="33"/>
      <c r="F48" s="35"/>
      <c r="G48" s="5"/>
      <c r="H48" s="87">
        <v>4.219780219780219</v>
      </c>
      <c r="J48" s="20" t="s">
        <v>1</v>
      </c>
      <c r="K48" s="25" t="s">
        <v>52</v>
      </c>
      <c r="L48" s="33"/>
      <c r="M48" s="35">
        <f t="shared" ref="M48:M55" si="10">1-L48%</f>
        <v>1</v>
      </c>
      <c r="N48" s="5">
        <v>52.219780219780219</v>
      </c>
      <c r="O48" s="7">
        <v>52.219780219780219</v>
      </c>
      <c r="P48" s="18"/>
    </row>
    <row r="49" spans="1:16" x14ac:dyDescent="0.3">
      <c r="C49" s="20" t="s">
        <v>1</v>
      </c>
      <c r="D49" s="25" t="s">
        <v>53</v>
      </c>
      <c r="E49" s="33"/>
      <c r="F49" s="35"/>
      <c r="G49" s="5"/>
      <c r="H49" s="87">
        <v>11.624175824175829</v>
      </c>
      <c r="J49" s="20" t="s">
        <v>1</v>
      </c>
      <c r="K49" s="25" t="s">
        <v>53</v>
      </c>
      <c r="L49" s="33"/>
      <c r="M49" s="35">
        <f t="shared" si="10"/>
        <v>1</v>
      </c>
      <c r="N49" s="5">
        <v>44.624175824175829</v>
      </c>
      <c r="O49" s="7">
        <v>44.624175824175829</v>
      </c>
      <c r="P49" s="18"/>
    </row>
    <row r="50" spans="1:16" x14ac:dyDescent="0.3">
      <c r="C50" s="20" t="s">
        <v>10</v>
      </c>
      <c r="D50" s="25" t="str">
        <f>+D47</f>
        <v>Agr</v>
      </c>
      <c r="E50" s="33"/>
      <c r="F50" s="35"/>
      <c r="G50" s="5"/>
      <c r="H50" s="87">
        <v>5.8549450549450626</v>
      </c>
      <c r="J50" s="20" t="s">
        <v>10</v>
      </c>
      <c r="K50" s="25" t="str">
        <f>+K47</f>
        <v>Agr</v>
      </c>
      <c r="L50" s="33"/>
      <c r="M50" s="35">
        <f t="shared" si="10"/>
        <v>1</v>
      </c>
      <c r="N50" s="5">
        <v>77.854945054945063</v>
      </c>
      <c r="O50" s="7">
        <v>77.854945054945063</v>
      </c>
      <c r="P50" s="18"/>
    </row>
    <row r="51" spans="1:16" x14ac:dyDescent="0.3">
      <c r="C51" s="20" t="s">
        <v>10</v>
      </c>
      <c r="D51" s="25" t="str">
        <f t="shared" ref="D51:D55" si="11">+D48</f>
        <v>Ind</v>
      </c>
      <c r="E51" s="33"/>
      <c r="F51" s="35"/>
      <c r="G51" s="5"/>
      <c r="H51" s="87">
        <v>2.4725274725274602</v>
      </c>
      <c r="J51" s="20" t="s">
        <v>10</v>
      </c>
      <c r="K51" s="25" t="str">
        <f t="shared" ref="K51:K55" si="12">+K48</f>
        <v>Ind</v>
      </c>
      <c r="L51" s="33"/>
      <c r="M51" s="35">
        <f t="shared" si="10"/>
        <v>1</v>
      </c>
      <c r="N51" s="5">
        <v>47.47252747252746</v>
      </c>
      <c r="O51" s="7">
        <v>47.47252747252746</v>
      </c>
      <c r="P51" s="18"/>
    </row>
    <row r="52" spans="1:16" x14ac:dyDescent="0.3">
      <c r="C52" s="20" t="s">
        <v>10</v>
      </c>
      <c r="D52" s="25" t="str">
        <f t="shared" si="11"/>
        <v>Serv</v>
      </c>
      <c r="E52" s="33"/>
      <c r="F52" s="35"/>
      <c r="G52" s="5"/>
      <c r="H52" s="87">
        <v>17.219780219780212</v>
      </c>
      <c r="J52" s="20" t="s">
        <v>10</v>
      </c>
      <c r="K52" s="25" t="str">
        <f t="shared" si="12"/>
        <v>Serv</v>
      </c>
      <c r="L52" s="33"/>
      <c r="M52" s="35">
        <f t="shared" si="10"/>
        <v>1</v>
      </c>
      <c r="N52" s="5">
        <v>52.219780219780205</v>
      </c>
      <c r="O52" s="7">
        <v>52.219780219780205</v>
      </c>
      <c r="P52" s="18"/>
    </row>
    <row r="53" spans="1:16" x14ac:dyDescent="0.3">
      <c r="C53" s="20" t="s">
        <v>11</v>
      </c>
      <c r="D53" s="25" t="str">
        <f t="shared" si="11"/>
        <v>Agr</v>
      </c>
      <c r="E53" s="33"/>
      <c r="F53" s="35"/>
      <c r="G53" s="5"/>
      <c r="H53" s="87">
        <v>11.006593406593396</v>
      </c>
      <c r="J53" s="20" t="s">
        <v>11</v>
      </c>
      <c r="K53" s="25" t="str">
        <f t="shared" si="12"/>
        <v>Agr</v>
      </c>
      <c r="L53" s="33"/>
      <c r="M53" s="35">
        <f t="shared" si="10"/>
        <v>1</v>
      </c>
      <c r="N53" s="5">
        <v>75.006593406593396</v>
      </c>
      <c r="O53" s="7">
        <v>75.006593406593396</v>
      </c>
      <c r="P53" s="18"/>
    </row>
    <row r="54" spans="1:16" x14ac:dyDescent="0.3">
      <c r="C54" s="20" t="s">
        <v>11</v>
      </c>
      <c r="D54" s="25" t="str">
        <f t="shared" si="11"/>
        <v>Ind</v>
      </c>
      <c r="E54" s="33"/>
      <c r="F54" s="35"/>
      <c r="G54" s="5"/>
      <c r="H54" s="87">
        <v>24.714285714285687</v>
      </c>
      <c r="J54" s="20" t="s">
        <v>11</v>
      </c>
      <c r="K54" s="25" t="str">
        <f t="shared" si="12"/>
        <v>Ind</v>
      </c>
      <c r="L54" s="33"/>
      <c r="M54" s="35">
        <f t="shared" si="10"/>
        <v>1</v>
      </c>
      <c r="N54" s="5">
        <v>61.714285714285694</v>
      </c>
      <c r="O54" s="7">
        <v>61.714285714285694</v>
      </c>
      <c r="P54" s="18"/>
    </row>
    <row r="55" spans="1:16" x14ac:dyDescent="0.3">
      <c r="C55" s="20" t="s">
        <v>11</v>
      </c>
      <c r="D55" s="25" t="str">
        <f t="shared" si="11"/>
        <v>Serv</v>
      </c>
      <c r="E55" s="34"/>
      <c r="F55" s="35"/>
      <c r="G55" s="9"/>
      <c r="H55" s="90">
        <v>20.967032967032985</v>
      </c>
      <c r="J55" s="20" t="s">
        <v>11</v>
      </c>
      <c r="K55" s="25" t="str">
        <f t="shared" si="12"/>
        <v>Serv</v>
      </c>
      <c r="L55" s="34"/>
      <c r="M55" s="35">
        <f t="shared" si="10"/>
        <v>1</v>
      </c>
      <c r="N55" s="9">
        <v>56.967032967032978</v>
      </c>
      <c r="O55" s="11">
        <v>56.967032967032978</v>
      </c>
      <c r="P55" s="18"/>
    </row>
    <row r="56" spans="1:16" x14ac:dyDescent="0.3">
      <c r="G56" s="13">
        <f t="shared" ref="G56:H56" si="13">SUM(G47:G55)</f>
        <v>0</v>
      </c>
      <c r="H56" s="15">
        <f t="shared" si="13"/>
        <v>128.69010989010988</v>
      </c>
      <c r="N56" s="13">
        <f t="shared" ref="N56:O56" si="14">SUM(N47:N55)</f>
        <v>535.49010989010981</v>
      </c>
      <c r="O56" s="15">
        <f t="shared" si="14"/>
        <v>535.49010989010981</v>
      </c>
    </row>
    <row r="58" spans="1:16" x14ac:dyDescent="0.3">
      <c r="A58" s="66"/>
    </row>
    <row r="59" spans="1:16" x14ac:dyDescent="0.3">
      <c r="A59" s="68" t="s">
        <v>30</v>
      </c>
      <c r="E59" s="20" t="s">
        <v>20</v>
      </c>
      <c r="F59" s="20" t="s">
        <v>19</v>
      </c>
      <c r="G59" s="20" t="s">
        <v>3</v>
      </c>
    </row>
    <row r="60" spans="1:16" x14ac:dyDescent="0.3">
      <c r="A60" s="67"/>
      <c r="C60" s="20" t="s">
        <v>1</v>
      </c>
      <c r="D60" s="28" t="s">
        <v>51</v>
      </c>
      <c r="E60" s="91" cm="1">
        <f t="array" ref="E60:E68">+IO_sub_model!F188:F196</f>
        <v>61.800000000000004</v>
      </c>
      <c r="F60" s="133" cm="1">
        <f t="array" ref="F60:F68">+_xlfn.ANCHORARRAY(O5)</f>
        <v>67.410989010989013</v>
      </c>
      <c r="G60" s="94">
        <f>+MIN(F60/E60,1)</f>
        <v>1</v>
      </c>
      <c r="H60" s="18"/>
    </row>
    <row r="61" spans="1:16" x14ac:dyDescent="0.3">
      <c r="C61" s="20" t="s">
        <v>1</v>
      </c>
      <c r="D61" s="25" t="s">
        <v>52</v>
      </c>
      <c r="E61" s="92">
        <v>55</v>
      </c>
      <c r="F61" s="134">
        <v>52.219780219780219</v>
      </c>
      <c r="G61" s="95">
        <f t="shared" ref="G61:G68" si="15">+MIN(F61/E61,1)</f>
        <v>0.94945054945054941</v>
      </c>
      <c r="H61" s="18"/>
    </row>
    <row r="62" spans="1:16" x14ac:dyDescent="0.3">
      <c r="C62" s="20" t="s">
        <v>1</v>
      </c>
      <c r="D62" s="25" t="s">
        <v>53</v>
      </c>
      <c r="E62" s="92">
        <v>47</v>
      </c>
      <c r="F62" s="134">
        <v>44.624175824175829</v>
      </c>
      <c r="G62" s="95">
        <f t="shared" si="15"/>
        <v>0.94945054945054952</v>
      </c>
      <c r="H62" s="18"/>
    </row>
    <row r="63" spans="1:16" x14ac:dyDescent="0.3">
      <c r="C63" s="20" t="s">
        <v>10</v>
      </c>
      <c r="D63" s="25" t="str">
        <f>+D60</f>
        <v>Agr</v>
      </c>
      <c r="E63" s="92">
        <v>82</v>
      </c>
      <c r="F63" s="134">
        <v>77.854945054945063</v>
      </c>
      <c r="G63" s="95">
        <f t="shared" si="15"/>
        <v>0.94945054945054952</v>
      </c>
      <c r="H63" s="18"/>
    </row>
    <row r="64" spans="1:16" x14ac:dyDescent="0.3">
      <c r="C64" s="20" t="s">
        <v>10</v>
      </c>
      <c r="D64" s="25" t="str">
        <f t="shared" ref="D64:D68" si="16">+D61</f>
        <v>Ind</v>
      </c>
      <c r="E64" s="92">
        <v>50</v>
      </c>
      <c r="F64" s="134">
        <v>47.47252747252746</v>
      </c>
      <c r="G64" s="95">
        <f t="shared" si="15"/>
        <v>0.94945054945054919</v>
      </c>
      <c r="H64" s="18"/>
    </row>
    <row r="65" spans="1:13" x14ac:dyDescent="0.3">
      <c r="C65" s="20" t="s">
        <v>10</v>
      </c>
      <c r="D65" s="25" t="str">
        <f t="shared" si="16"/>
        <v>Serv</v>
      </c>
      <c r="E65" s="92">
        <v>54.999999999999993</v>
      </c>
      <c r="F65" s="134">
        <v>52.219780219780205</v>
      </c>
      <c r="G65" s="95">
        <f t="shared" si="15"/>
        <v>0.9494505494505493</v>
      </c>
      <c r="H65" s="18"/>
    </row>
    <row r="66" spans="1:13" x14ac:dyDescent="0.3">
      <c r="C66" s="20" t="s">
        <v>11</v>
      </c>
      <c r="D66" s="25" t="str">
        <f t="shared" si="16"/>
        <v>Agr</v>
      </c>
      <c r="E66" s="92">
        <v>79</v>
      </c>
      <c r="F66" s="134">
        <v>75.006593406593396</v>
      </c>
      <c r="G66" s="95">
        <f t="shared" si="15"/>
        <v>0.9494505494505493</v>
      </c>
      <c r="H66" s="18"/>
    </row>
    <row r="67" spans="1:13" x14ac:dyDescent="0.3">
      <c r="C67" s="20" t="s">
        <v>11</v>
      </c>
      <c r="D67" s="25" t="str">
        <f t="shared" si="16"/>
        <v>Ind</v>
      </c>
      <c r="E67" s="92">
        <v>65</v>
      </c>
      <c r="F67" s="134">
        <v>61.714285714285694</v>
      </c>
      <c r="G67" s="95">
        <f t="shared" si="15"/>
        <v>0.94945054945054919</v>
      </c>
      <c r="H67" s="18"/>
    </row>
    <row r="68" spans="1:13" x14ac:dyDescent="0.3">
      <c r="C68" s="20" t="s">
        <v>11</v>
      </c>
      <c r="D68" s="25" t="str">
        <f t="shared" si="16"/>
        <v>Serv</v>
      </c>
      <c r="E68" s="93">
        <v>59.999999999999993</v>
      </c>
      <c r="F68" s="135">
        <v>56.967032967032978</v>
      </c>
      <c r="G68" s="96">
        <f t="shared" si="15"/>
        <v>0.94945054945054974</v>
      </c>
      <c r="H68" s="18"/>
    </row>
    <row r="69" spans="1:13" x14ac:dyDescent="0.3">
      <c r="A69" s="66"/>
    </row>
    <row r="70" spans="1:13" x14ac:dyDescent="0.3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13" x14ac:dyDescent="0.3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13" x14ac:dyDescent="0.3">
      <c r="C72" t="s">
        <v>25</v>
      </c>
      <c r="D72" s="20" t="s">
        <v>4</v>
      </c>
      <c r="E72" s="43" cm="1">
        <f t="array" ref="E72">+MIN(_xlfn._xlws.FILTER($G$60:$G$68,E21:E29&gt;0))</f>
        <v>0.94945054945054919</v>
      </c>
      <c r="F72" s="44" cm="1">
        <f t="array" ref="F72">+MIN(_xlfn._xlws.FILTER($G$60:$G$68,F21:F29&gt;0))</f>
        <v>0.94945054945054919</v>
      </c>
      <c r="G72" s="44" cm="1">
        <f t="array" ref="G72">+MIN(_xlfn._xlws.FILTER($G$60:$G$68,G21:G29&gt;0))</f>
        <v>0.94945054945054919</v>
      </c>
      <c r="H72" s="44" cm="1">
        <f t="array" ref="H72">+MIN(_xlfn._xlws.FILTER($G$60:$G$68,H21:H29&gt;0))</f>
        <v>0.94945054945054919</v>
      </c>
      <c r="I72" s="44" cm="1">
        <f t="array" ref="I72">+MIN(_xlfn._xlws.FILTER($G$60:$G$68,I21:I29&gt;0))</f>
        <v>0.94945054945054919</v>
      </c>
      <c r="J72" s="44" cm="1">
        <f t="array" ref="J72">+MIN(_xlfn._xlws.FILTER($G$60:$G$68,J21:J29&gt;0))</f>
        <v>0.94945054945054919</v>
      </c>
      <c r="K72" s="44" cm="1">
        <f t="array" ref="K72">+MIN(_xlfn._xlws.FILTER($G$60:$G$68,K21:K29&gt;0))</f>
        <v>0.94945054945054919</v>
      </c>
      <c r="L72" s="44" cm="1">
        <f t="array" ref="L72">+MIN(_xlfn._xlws.FILTER($G$60:$G$68,L21:L29&gt;0))</f>
        <v>0.94945054945054919</v>
      </c>
      <c r="M72" s="45" cm="1">
        <f t="array" ref="M72">+MIN(_xlfn._xlws.FILTER($G$60:$G$68,M21:M29&gt;0))</f>
        <v>0.94945054945054919</v>
      </c>
    </row>
    <row r="73" spans="1:13" ht="15" thickBot="1" x14ac:dyDescent="0.35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13" x14ac:dyDescent="0.3">
      <c r="D74" s="22" t="s">
        <v>22</v>
      </c>
      <c r="E74" s="46">
        <f>+MIN(E72:E73)</f>
        <v>0.94945054945054919</v>
      </c>
      <c r="F74" s="47">
        <f t="shared" ref="F74:M74" si="17">+MIN(F72:F73)</f>
        <v>0.94945054945054919</v>
      </c>
      <c r="G74" s="47">
        <f t="shared" si="17"/>
        <v>0.94945054945054919</v>
      </c>
      <c r="H74" s="47">
        <f t="shared" si="17"/>
        <v>0.94945054945054919</v>
      </c>
      <c r="I74" s="47">
        <f t="shared" si="17"/>
        <v>0.94945054945054919</v>
      </c>
      <c r="J74" s="47">
        <f t="shared" si="17"/>
        <v>0.94945054945054919</v>
      </c>
      <c r="K74" s="47">
        <f t="shared" si="17"/>
        <v>0.94945054945054919</v>
      </c>
      <c r="L74" s="47">
        <f t="shared" si="17"/>
        <v>0.94945054945054919</v>
      </c>
      <c r="M74" s="48">
        <f t="shared" si="17"/>
        <v>0.94945054945054919</v>
      </c>
    </row>
    <row r="75" spans="1:13" x14ac:dyDescent="0.3">
      <c r="A75" s="66"/>
    </row>
    <row r="76" spans="1:13" ht="15" thickBot="1" x14ac:dyDescent="0.35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13" ht="15" thickBot="1" x14ac:dyDescent="0.35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13" x14ac:dyDescent="0.3">
      <c r="B78" s="63" cm="1">
        <f t="array" ref="B78:B86">+TRANSPOSE(E74:M74)</f>
        <v>0.94945054945054919</v>
      </c>
      <c r="C78" s="20" t="s">
        <v>1</v>
      </c>
      <c r="D78" s="28" t="s">
        <v>51</v>
      </c>
      <c r="E78" s="1">
        <f>+E5*$B78</f>
        <v>7.5956043956043935</v>
      </c>
      <c r="F78" s="2">
        <f t="shared" ref="F78:M78" si="18">+F5*$B78</f>
        <v>3.7978021978021967</v>
      </c>
      <c r="G78" s="2">
        <f t="shared" si="18"/>
        <v>7.5956043956043935</v>
      </c>
      <c r="H78" s="2">
        <f t="shared" si="18"/>
        <v>0.75956043956043939</v>
      </c>
      <c r="I78" s="2">
        <f t="shared" si="18"/>
        <v>0</v>
      </c>
      <c r="J78" s="2">
        <f t="shared" si="18"/>
        <v>6.0764835164835151</v>
      </c>
      <c r="K78" s="2">
        <f t="shared" si="18"/>
        <v>2.2786813186813184</v>
      </c>
      <c r="L78" s="2">
        <f t="shared" si="18"/>
        <v>5.316923076923076</v>
      </c>
      <c r="M78" s="3">
        <f t="shared" si="18"/>
        <v>1.5191208791208788</v>
      </c>
    </row>
    <row r="79" spans="1:13" x14ac:dyDescent="0.3">
      <c r="B79" s="30">
        <v>0.94945054945054919</v>
      </c>
      <c r="C79" s="20" t="s">
        <v>1</v>
      </c>
      <c r="D79" s="25" t="s">
        <v>52</v>
      </c>
      <c r="E79" s="5">
        <f t="shared" ref="E79:M86" si="19">+E6*$B79</f>
        <v>7.0415720749838364</v>
      </c>
      <c r="F79" s="6">
        <f t="shared" si="19"/>
        <v>3.4582340012928214</v>
      </c>
      <c r="G79" s="6">
        <f t="shared" si="19"/>
        <v>7.8011325145442774</v>
      </c>
      <c r="H79" s="6">
        <f t="shared" si="19"/>
        <v>4.4322585649644441</v>
      </c>
      <c r="I79" s="6">
        <f t="shared" si="19"/>
        <v>1.733585003232063</v>
      </c>
      <c r="J79" s="6">
        <f t="shared" si="19"/>
        <v>8.6679250161603054</v>
      </c>
      <c r="K79" s="6">
        <f t="shared" si="19"/>
        <v>1.724648998060764</v>
      </c>
      <c r="L79" s="6">
        <f t="shared" si="19"/>
        <v>4.5394906270200348</v>
      </c>
      <c r="M79" s="7">
        <f t="shared" si="19"/>
        <v>6.174779573367811</v>
      </c>
    </row>
    <row r="80" spans="1:13" x14ac:dyDescent="0.3">
      <c r="B80" s="30">
        <v>0.94945054945054919</v>
      </c>
      <c r="C80" s="20" t="s">
        <v>1</v>
      </c>
      <c r="D80" s="25" t="s">
        <v>53</v>
      </c>
      <c r="E80" s="5">
        <f t="shared" si="19"/>
        <v>0.96405748098055699</v>
      </c>
      <c r="F80" s="6">
        <f t="shared" si="19"/>
        <v>0.42177514792899395</v>
      </c>
      <c r="G80" s="6">
        <f t="shared" si="19"/>
        <v>0.482028740490279</v>
      </c>
      <c r="H80" s="6">
        <f t="shared" si="19"/>
        <v>6.4014877430262027</v>
      </c>
      <c r="I80" s="6">
        <f t="shared" si="19"/>
        <v>3.8215384615384598</v>
      </c>
      <c r="J80" s="6">
        <f t="shared" si="19"/>
        <v>3.399763313609466</v>
      </c>
      <c r="K80" s="6">
        <f t="shared" si="19"/>
        <v>5.979712595097209</v>
      </c>
      <c r="L80" s="6">
        <f t="shared" si="19"/>
        <v>3.6407776838546058</v>
      </c>
      <c r="M80" s="7">
        <f t="shared" si="19"/>
        <v>6.2207269653423491</v>
      </c>
    </row>
    <row r="81" spans="1:14" x14ac:dyDescent="0.3">
      <c r="B81" s="30">
        <v>0.94945054945054919</v>
      </c>
      <c r="C81" s="20" t="s">
        <v>10</v>
      </c>
      <c r="D81" s="25" t="str">
        <f>+D78</f>
        <v>Agr</v>
      </c>
      <c r="E81" s="5">
        <f t="shared" si="19"/>
        <v>8.4887139234391942</v>
      </c>
      <c r="F81" s="6">
        <f t="shared" si="19"/>
        <v>5.3002294408887796</v>
      </c>
      <c r="G81" s="6">
        <f t="shared" si="19"/>
        <v>4.6909117256370001</v>
      </c>
      <c r="H81" s="6">
        <f t="shared" si="19"/>
        <v>6.593986233546671</v>
      </c>
      <c r="I81" s="6">
        <f t="shared" si="19"/>
        <v>9.0980316386909745</v>
      </c>
      <c r="J81" s="6">
        <f t="shared" si="19"/>
        <v>8.1131071126675476</v>
      </c>
      <c r="K81" s="6">
        <f t="shared" si="19"/>
        <v>9.0980316386909763</v>
      </c>
      <c r="L81" s="6">
        <f t="shared" si="19"/>
        <v>8.7140780099021811</v>
      </c>
      <c r="M81" s="7">
        <f t="shared" si="19"/>
        <v>8.2633498369762091</v>
      </c>
    </row>
    <row r="82" spans="1:14" x14ac:dyDescent="0.3">
      <c r="B82" s="30">
        <v>0.94945054945054919</v>
      </c>
      <c r="C82" s="20" t="s">
        <v>10</v>
      </c>
      <c r="D82" s="25" t="str">
        <f t="shared" ref="D82:D86" si="20">+D79</f>
        <v>Ind</v>
      </c>
      <c r="E82" s="5">
        <f t="shared" si="19"/>
        <v>3.7978021978021967</v>
      </c>
      <c r="F82" s="6">
        <f t="shared" si="19"/>
        <v>1.8989010989010997</v>
      </c>
      <c r="G82" s="6">
        <f t="shared" si="19"/>
        <v>2.848351648351648</v>
      </c>
      <c r="H82" s="6">
        <f t="shared" si="19"/>
        <v>5.6967032967032951</v>
      </c>
      <c r="I82" s="6">
        <f t="shared" si="19"/>
        <v>6.6461538461538421</v>
      </c>
      <c r="J82" s="6">
        <f t="shared" si="19"/>
        <v>3.7978021978021967</v>
      </c>
      <c r="K82" s="6">
        <f t="shared" si="19"/>
        <v>8.5450549450549413</v>
      </c>
      <c r="L82" s="6">
        <f t="shared" si="19"/>
        <v>1.8989010989011001</v>
      </c>
      <c r="M82" s="7">
        <f t="shared" si="19"/>
        <v>7.5956043956043926</v>
      </c>
    </row>
    <row r="83" spans="1:14" x14ac:dyDescent="0.3">
      <c r="B83" s="30">
        <v>0.94945054945054919</v>
      </c>
      <c r="C83" s="20" t="s">
        <v>10</v>
      </c>
      <c r="D83" s="25" t="str">
        <f t="shared" si="20"/>
        <v>Serv</v>
      </c>
      <c r="E83" s="5">
        <f t="shared" si="19"/>
        <v>5.5798478444632273</v>
      </c>
      <c r="F83" s="6">
        <f t="shared" si="19"/>
        <v>4.2451394759087053</v>
      </c>
      <c r="G83" s="6">
        <f t="shared" si="19"/>
        <v>3.5494843617920533</v>
      </c>
      <c r="H83" s="6">
        <f t="shared" si="19"/>
        <v>1.9098562975486038</v>
      </c>
      <c r="I83" s="6">
        <f t="shared" si="19"/>
        <v>7.6668131868131839</v>
      </c>
      <c r="J83" s="6">
        <f t="shared" si="19"/>
        <v>1.9025528317836</v>
      </c>
      <c r="K83" s="6">
        <f t="shared" si="19"/>
        <v>1.4625190194420958</v>
      </c>
      <c r="L83" s="6">
        <f t="shared" si="19"/>
        <v>5.1964158918005054</v>
      </c>
      <c r="M83" s="7">
        <f t="shared" si="19"/>
        <v>1.7181403212172444</v>
      </c>
    </row>
    <row r="84" spans="1:14" x14ac:dyDescent="0.3">
      <c r="B84" s="30">
        <v>0.94945054945054919</v>
      </c>
      <c r="C84" s="20" t="s">
        <v>11</v>
      </c>
      <c r="D84" s="25" t="str">
        <f t="shared" si="20"/>
        <v>Agr</v>
      </c>
      <c r="E84" s="5">
        <f t="shared" si="19"/>
        <v>3.7477212896993102</v>
      </c>
      <c r="F84" s="6">
        <f t="shared" si="19"/>
        <v>8.9310952783480229</v>
      </c>
      <c r="G84" s="6">
        <f t="shared" si="19"/>
        <v>7.5455234875015096</v>
      </c>
      <c r="H84" s="6">
        <f t="shared" si="19"/>
        <v>7.9712112063760401</v>
      </c>
      <c r="I84" s="6">
        <f t="shared" si="19"/>
        <v>8.9310952783480211</v>
      </c>
      <c r="J84" s="6">
        <f t="shared" si="19"/>
        <v>1.1351672503320842</v>
      </c>
      <c r="K84" s="6">
        <f t="shared" si="19"/>
        <v>6.6524139596667053</v>
      </c>
      <c r="L84" s="6">
        <f t="shared" si="19"/>
        <v>8.5054075594734897</v>
      </c>
      <c r="M84" s="7">
        <f t="shared" si="19"/>
        <v>7.3451998550899651</v>
      </c>
    </row>
    <row r="85" spans="1:14" x14ac:dyDescent="0.3">
      <c r="B85" s="30">
        <v>0.94945054945054919</v>
      </c>
      <c r="C85" s="20" t="s">
        <v>11</v>
      </c>
      <c r="D85" s="25" t="str">
        <f t="shared" si="20"/>
        <v>Ind</v>
      </c>
      <c r="E85" s="5">
        <f t="shared" si="19"/>
        <v>1.503482870071104</v>
      </c>
      <c r="F85" s="6">
        <f t="shared" si="19"/>
        <v>6.9857220426632161</v>
      </c>
      <c r="G85" s="6">
        <f t="shared" si="19"/>
        <v>0.74392243051066631</v>
      </c>
      <c r="H85" s="6">
        <f t="shared" si="19"/>
        <v>7.9105985778926922</v>
      </c>
      <c r="I85" s="6">
        <f t="shared" si="19"/>
        <v>0.16531609566903793</v>
      </c>
      <c r="J85" s="6">
        <f t="shared" si="19"/>
        <v>0.826580478345183</v>
      </c>
      <c r="K85" s="6">
        <f t="shared" si="19"/>
        <v>6.8204059469941818</v>
      </c>
      <c r="L85" s="6">
        <f t="shared" si="19"/>
        <v>8.7528170652876494</v>
      </c>
      <c r="M85" s="7">
        <f t="shared" si="19"/>
        <v>1.4208248222365889</v>
      </c>
    </row>
    <row r="86" spans="1:14" x14ac:dyDescent="0.3">
      <c r="B86" s="31">
        <v>0.94945054945054919</v>
      </c>
      <c r="C86" s="20" t="s">
        <v>11</v>
      </c>
      <c r="D86" s="25" t="str">
        <f t="shared" si="20"/>
        <v>Serv</v>
      </c>
      <c r="E86" s="9">
        <f t="shared" si="19"/>
        <v>8.6473034657650008</v>
      </c>
      <c r="F86" s="10">
        <f t="shared" si="19"/>
        <v>1.979239222316145</v>
      </c>
      <c r="G86" s="10">
        <f t="shared" si="19"/>
        <v>3.5640912933220616</v>
      </c>
      <c r="H86" s="10">
        <f t="shared" si="19"/>
        <v>8.7787658495350769</v>
      </c>
      <c r="I86" s="10">
        <f t="shared" si="19"/>
        <v>0.8545054945054934</v>
      </c>
      <c r="J86" s="10">
        <f t="shared" si="19"/>
        <v>0.39438715131022772</v>
      </c>
      <c r="K86" s="10">
        <f t="shared" si="19"/>
        <v>3.0017244294167362</v>
      </c>
      <c r="L86" s="10">
        <f t="shared" si="19"/>
        <v>0.65731191885037932</v>
      </c>
      <c r="M86" s="11">
        <f t="shared" si="19"/>
        <v>6.3028909551986469</v>
      </c>
    </row>
    <row r="87" spans="1:14" x14ac:dyDescent="0.3">
      <c r="N87" s="19">
        <f>+SUM(E78:M86)</f>
        <v>386.23648351648336</v>
      </c>
    </row>
    <row r="88" spans="1:14" x14ac:dyDescent="0.3">
      <c r="D88" s="20" t="str" cm="1">
        <f t="array" ref="D88:M89">+TRANSPOSE(E59:F68)</f>
        <v>x_md</v>
      </c>
      <c r="E88" s="43">
        <v>61.800000000000004</v>
      </c>
      <c r="F88" s="44">
        <v>55</v>
      </c>
      <c r="G88" s="44">
        <v>47</v>
      </c>
      <c r="H88" s="44">
        <v>82</v>
      </c>
      <c r="I88" s="44">
        <v>50</v>
      </c>
      <c r="J88" s="44">
        <v>54.999999999999993</v>
      </c>
      <c r="K88" s="44">
        <v>79</v>
      </c>
      <c r="L88" s="44">
        <v>65</v>
      </c>
      <c r="M88" s="45">
        <v>59.999999999999993</v>
      </c>
    </row>
    <row r="89" spans="1:14" ht="15" thickBot="1" x14ac:dyDescent="0.35">
      <c r="D89" s="49" t="str">
        <v>x_max</v>
      </c>
      <c r="E89" s="50">
        <v>67.410989010989013</v>
      </c>
      <c r="F89" s="51">
        <v>52.219780219780219</v>
      </c>
      <c r="G89" s="51">
        <v>44.624175824175829</v>
      </c>
      <c r="H89" s="51">
        <v>77.854945054945063</v>
      </c>
      <c r="I89" s="51">
        <v>47.47252747252746</v>
      </c>
      <c r="J89" s="51">
        <v>52.219780219780205</v>
      </c>
      <c r="K89" s="51">
        <v>75.006593406593396</v>
      </c>
      <c r="L89" s="51">
        <v>61.714285714285694</v>
      </c>
      <c r="M89" s="52">
        <v>56.967032967032978</v>
      </c>
    </row>
    <row r="90" spans="1:14" x14ac:dyDescent="0.3">
      <c r="D90" s="22"/>
      <c r="E90" s="46">
        <f>+MIN(E88:E89)</f>
        <v>61.800000000000004</v>
      </c>
      <c r="F90" s="47">
        <f t="shared" ref="F90:M90" si="21">+MIN(F88:F89)</f>
        <v>52.219780219780219</v>
      </c>
      <c r="G90" s="47">
        <f t="shared" si="21"/>
        <v>44.624175824175829</v>
      </c>
      <c r="H90" s="47">
        <f t="shared" si="21"/>
        <v>77.854945054945063</v>
      </c>
      <c r="I90" s="47">
        <f t="shared" si="21"/>
        <v>47.47252747252746</v>
      </c>
      <c r="J90" s="47">
        <f t="shared" si="21"/>
        <v>52.219780219780205</v>
      </c>
      <c r="K90" s="47">
        <f t="shared" si="21"/>
        <v>75.006593406593396</v>
      </c>
      <c r="L90" s="47">
        <f t="shared" si="21"/>
        <v>61.714285714285694</v>
      </c>
      <c r="M90" s="48">
        <f t="shared" si="21"/>
        <v>56.967032967032978</v>
      </c>
    </row>
    <row r="91" spans="1:14" x14ac:dyDescent="0.3">
      <c r="A91" s="66"/>
    </row>
    <row r="92" spans="1:14" ht="15" thickBot="1" x14ac:dyDescent="0.35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14" ht="15" thickBot="1" x14ac:dyDescent="0.35">
      <c r="A93" s="67"/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14" x14ac:dyDescent="0.3">
      <c r="C94" s="20" t="s">
        <v>1</v>
      </c>
      <c r="D94" s="28" t="s">
        <v>51</v>
      </c>
      <c r="E94" s="1">
        <f>+E21*E$88</f>
        <v>7.3341158059467926</v>
      </c>
      <c r="F94" s="2">
        <f t="shared" ref="F94:M94" si="22">+F21*F$88</f>
        <v>4.2129629629629628</v>
      </c>
      <c r="G94" s="2">
        <f t="shared" si="22"/>
        <v>8.4259259259259256</v>
      </c>
      <c r="H94" s="2">
        <f t="shared" si="22"/>
        <v>0.84259259259259256</v>
      </c>
      <c r="I94" s="2">
        <f t="shared" si="22"/>
        <v>0</v>
      </c>
      <c r="J94" s="2">
        <f t="shared" si="22"/>
        <v>6.7407407407407423</v>
      </c>
      <c r="K94" s="2">
        <f t="shared" si="22"/>
        <v>2.5277777777777786</v>
      </c>
      <c r="L94" s="2">
        <f t="shared" si="22"/>
        <v>5.8981481481481506</v>
      </c>
      <c r="M94" s="3">
        <f t="shared" si="22"/>
        <v>1.6851851851851849</v>
      </c>
      <c r="N94" s="19"/>
    </row>
    <row r="95" spans="1:14" x14ac:dyDescent="0.3">
      <c r="C95" s="20" t="s">
        <v>1</v>
      </c>
      <c r="D95" s="25" t="s">
        <v>52</v>
      </c>
      <c r="E95" s="5">
        <f t="shared" ref="E95:M102" si="23">+E22*E$88</f>
        <v>6.7991567706894962</v>
      </c>
      <c r="F95" s="6">
        <f t="shared" si="23"/>
        <v>3.836274509803919</v>
      </c>
      <c r="G95" s="6">
        <f t="shared" si="23"/>
        <v>8.6539215686274513</v>
      </c>
      <c r="H95" s="6">
        <f t="shared" si="23"/>
        <v>4.9167755991285382</v>
      </c>
      <c r="I95" s="6">
        <f t="shared" si="23"/>
        <v>1.9230936819172133</v>
      </c>
      <c r="J95" s="6">
        <f t="shared" si="23"/>
        <v>9.6154684095860556</v>
      </c>
      <c r="K95" s="6">
        <f t="shared" si="23"/>
        <v>1.9131808278867122</v>
      </c>
      <c r="L95" s="6">
        <f t="shared" si="23"/>
        <v>5.0357298474945518</v>
      </c>
      <c r="M95" s="7">
        <f t="shared" si="23"/>
        <v>6.8497821350762553</v>
      </c>
      <c r="N95" s="19"/>
    </row>
    <row r="96" spans="1:14" x14ac:dyDescent="0.3">
      <c r="C96" s="20" t="s">
        <v>1</v>
      </c>
      <c r="D96" s="25" t="s">
        <v>53</v>
      </c>
      <c r="E96" s="5">
        <f t="shared" si="23"/>
        <v>0.93086854460093826</v>
      </c>
      <c r="F96" s="6">
        <f t="shared" si="23"/>
        <v>0.46788194444444442</v>
      </c>
      <c r="G96" s="6">
        <f t="shared" si="23"/>
        <v>0.53472222222222232</v>
      </c>
      <c r="H96" s="6">
        <f t="shared" si="23"/>
        <v>7.101273148148147</v>
      </c>
      <c r="I96" s="6">
        <f t="shared" si="23"/>
        <v>4.2392939814814818</v>
      </c>
      <c r="J96" s="6">
        <f t="shared" si="23"/>
        <v>3.7714120370370376</v>
      </c>
      <c r="K96" s="6">
        <f t="shared" si="23"/>
        <v>6.6333912037037042</v>
      </c>
      <c r="L96" s="6">
        <f t="shared" si="23"/>
        <v>4.0387731481481497</v>
      </c>
      <c r="M96" s="7">
        <f t="shared" si="23"/>
        <v>6.900752314814814</v>
      </c>
      <c r="N96" s="19"/>
    </row>
    <row r="97" spans="3:25" x14ac:dyDescent="0.3">
      <c r="C97" s="20" t="s">
        <v>10</v>
      </c>
      <c r="D97" s="25" t="str">
        <f>+D94</f>
        <v>Agr</v>
      </c>
      <c r="E97" s="5">
        <f t="shared" si="23"/>
        <v>8.1964788732394354</v>
      </c>
      <c r="F97" s="6">
        <f t="shared" si="23"/>
        <v>5.8796296296296298</v>
      </c>
      <c r="G97" s="6">
        <f t="shared" si="23"/>
        <v>5.2037037037037042</v>
      </c>
      <c r="H97" s="6">
        <f t="shared" si="23"/>
        <v>7.3148148148148131</v>
      </c>
      <c r="I97" s="6">
        <f t="shared" si="23"/>
        <v>10.092592592592593</v>
      </c>
      <c r="J97" s="6">
        <f t="shared" si="23"/>
        <v>8.9999999999999982</v>
      </c>
      <c r="K97" s="6">
        <f t="shared" si="23"/>
        <v>10.092592592592595</v>
      </c>
      <c r="L97" s="6">
        <f t="shared" si="23"/>
        <v>9.6666666666666661</v>
      </c>
      <c r="M97" s="7">
        <f t="shared" si="23"/>
        <v>9.1666666666666643</v>
      </c>
      <c r="N97" s="19"/>
    </row>
    <row r="98" spans="3:25" x14ac:dyDescent="0.3">
      <c r="C98" s="20" t="s">
        <v>10</v>
      </c>
      <c r="D98" s="25" t="str">
        <f t="shared" ref="D98:D102" si="24">+D95</f>
        <v>Ind</v>
      </c>
      <c r="E98" s="5">
        <f t="shared" si="23"/>
        <v>3.6670579029733963</v>
      </c>
      <c r="F98" s="6">
        <f t="shared" si="23"/>
        <v>2.1064814814814832</v>
      </c>
      <c r="G98" s="6">
        <f t="shared" si="23"/>
        <v>3.1597222222222223</v>
      </c>
      <c r="H98" s="6">
        <f t="shared" si="23"/>
        <v>6.3194444444444438</v>
      </c>
      <c r="I98" s="6">
        <f t="shared" si="23"/>
        <v>7.3726851851851851</v>
      </c>
      <c r="J98" s="6">
        <f t="shared" si="23"/>
        <v>4.2129629629629637</v>
      </c>
      <c r="K98" s="6">
        <f t="shared" si="23"/>
        <v>9.4791666666666661</v>
      </c>
      <c r="L98" s="6">
        <f t="shared" si="23"/>
        <v>2.1064814814814841</v>
      </c>
      <c r="M98" s="7">
        <f t="shared" si="23"/>
        <v>8.425925925925922</v>
      </c>
      <c r="N98" s="19"/>
    </row>
    <row r="99" spans="3:25" x14ac:dyDescent="0.3">
      <c r="C99" s="20" t="s">
        <v>10</v>
      </c>
      <c r="D99" s="25" t="str">
        <f t="shared" si="24"/>
        <v>Serv</v>
      </c>
      <c r="E99" s="5">
        <f t="shared" si="23"/>
        <v>5.3877543035993742</v>
      </c>
      <c r="F99" s="6">
        <f t="shared" si="23"/>
        <v>4.7092013888888884</v>
      </c>
      <c r="G99" s="6">
        <f t="shared" si="23"/>
        <v>3.9374999999999996</v>
      </c>
      <c r="H99" s="6">
        <f t="shared" si="23"/>
        <v>2.1186342592592582</v>
      </c>
      <c r="I99" s="6">
        <f t="shared" si="23"/>
        <v>8.5049189814814827</v>
      </c>
      <c r="J99" s="6">
        <f t="shared" si="23"/>
        <v>2.1105324074074074</v>
      </c>
      <c r="K99" s="6">
        <f t="shared" si="23"/>
        <v>1.6223958333333335</v>
      </c>
      <c r="L99" s="6">
        <f t="shared" si="23"/>
        <v>5.7644675925925943</v>
      </c>
      <c r="M99" s="7">
        <f t="shared" si="23"/>
        <v>1.9059606481481484</v>
      </c>
      <c r="N99" s="19"/>
    </row>
    <row r="100" spans="3:25" x14ac:dyDescent="0.3">
      <c r="C100" s="20" t="s">
        <v>11</v>
      </c>
      <c r="D100" s="25" t="str">
        <f t="shared" si="24"/>
        <v>Agr</v>
      </c>
      <c r="E100" s="5">
        <f t="shared" si="23"/>
        <v>3.6187010954616583</v>
      </c>
      <c r="F100" s="6">
        <f t="shared" si="23"/>
        <v>9.9074074074074083</v>
      </c>
      <c r="G100" s="6">
        <f t="shared" si="23"/>
        <v>8.370370370370372</v>
      </c>
      <c r="H100" s="6">
        <f t="shared" si="23"/>
        <v>8.8425925925925917</v>
      </c>
      <c r="I100" s="6">
        <f t="shared" si="23"/>
        <v>9.9074074074074083</v>
      </c>
      <c r="J100" s="6">
        <f t="shared" si="23"/>
        <v>1.2592592592592586</v>
      </c>
      <c r="K100" s="6">
        <f t="shared" si="23"/>
        <v>7.3796296296296306</v>
      </c>
      <c r="L100" s="6">
        <f t="shared" si="23"/>
        <v>9.4351851851851869</v>
      </c>
      <c r="M100" s="7">
        <f t="shared" si="23"/>
        <v>8.1481481481481488</v>
      </c>
      <c r="N100" s="19"/>
    </row>
    <row r="101" spans="3:25" x14ac:dyDescent="0.3">
      <c r="C101" s="20" t="s">
        <v>11</v>
      </c>
      <c r="D101" s="25" t="str">
        <f t="shared" si="24"/>
        <v>Ind</v>
      </c>
      <c r="E101" s="5">
        <f t="shared" si="23"/>
        <v>1.4517235110006437</v>
      </c>
      <c r="F101" s="6">
        <f t="shared" si="23"/>
        <v>7.7493736383442258</v>
      </c>
      <c r="G101" s="6">
        <f t="shared" si="23"/>
        <v>0.82524509803921631</v>
      </c>
      <c r="H101" s="6">
        <f t="shared" si="23"/>
        <v>8.7753540305010862</v>
      </c>
      <c r="I101" s="6">
        <f t="shared" si="23"/>
        <v>0.18338779956427143</v>
      </c>
      <c r="J101" s="6">
        <f t="shared" si="23"/>
        <v>0.91693899782134969</v>
      </c>
      <c r="K101" s="6">
        <f t="shared" si="23"/>
        <v>7.5659858387799597</v>
      </c>
      <c r="L101" s="6">
        <f t="shared" si="23"/>
        <v>9.7096405228758176</v>
      </c>
      <c r="M101" s="7">
        <f t="shared" si="23"/>
        <v>1.5761437908496754</v>
      </c>
      <c r="N101" s="19"/>
    </row>
    <row r="102" spans="3:25" x14ac:dyDescent="0.3">
      <c r="C102" s="20" t="s">
        <v>11</v>
      </c>
      <c r="D102" s="25" t="str">
        <f t="shared" si="24"/>
        <v>Serv</v>
      </c>
      <c r="E102" s="9">
        <f t="shared" si="23"/>
        <v>8.3496087636932703</v>
      </c>
      <c r="F102" s="10">
        <f t="shared" si="23"/>
        <v>2.1956018518518521</v>
      </c>
      <c r="G102" s="10">
        <f t="shared" si="23"/>
        <v>3.9537037037037037</v>
      </c>
      <c r="H102" s="10">
        <f t="shared" si="23"/>
        <v>9.7384259259259238</v>
      </c>
      <c r="I102" s="10">
        <f t="shared" si="23"/>
        <v>0.94791666666666596</v>
      </c>
      <c r="J102" s="10">
        <f t="shared" si="23"/>
        <v>0.43749999999999961</v>
      </c>
      <c r="K102" s="10">
        <f t="shared" si="23"/>
        <v>3.3298611111111112</v>
      </c>
      <c r="L102" s="10">
        <f t="shared" si="23"/>
        <v>0.72916666666666596</v>
      </c>
      <c r="M102" s="11">
        <f t="shared" si="23"/>
        <v>6.9918981481481479</v>
      </c>
      <c r="N102" s="19"/>
    </row>
    <row r="103" spans="3:25" x14ac:dyDescent="0.3">
      <c r="N103" s="19">
        <f>+SUM(E94:M102)</f>
        <v>421.64981742305679</v>
      </c>
    </row>
    <row r="104" spans="3:25" ht="15" thickBot="1" x14ac:dyDescent="0.35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25" ht="15" thickBot="1" x14ac:dyDescent="0.35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25" x14ac:dyDescent="0.3">
      <c r="C106" s="20" t="s">
        <v>1</v>
      </c>
      <c r="D106" s="28" t="s">
        <v>51</v>
      </c>
      <c r="E106" s="1">
        <f>+MAX(E94-E78,0)</f>
        <v>0</v>
      </c>
      <c r="F106" s="2">
        <f t="shared" ref="F106:M106" si="25">+MAX(F94-F78,0)</f>
        <v>0.41516076516076605</v>
      </c>
      <c r="G106" s="2">
        <f t="shared" si="25"/>
        <v>0.83032153032153211</v>
      </c>
      <c r="H106" s="2">
        <f t="shared" si="25"/>
        <v>8.3032153032153166E-2</v>
      </c>
      <c r="I106" s="2">
        <f t="shared" si="25"/>
        <v>0</v>
      </c>
      <c r="J106" s="2">
        <f t="shared" si="25"/>
        <v>0.66425722425722711</v>
      </c>
      <c r="K106" s="2">
        <f t="shared" si="25"/>
        <v>0.24909645909646017</v>
      </c>
      <c r="L106" s="2">
        <f t="shared" si="25"/>
        <v>0.58122507122507461</v>
      </c>
      <c r="M106" s="3">
        <f t="shared" si="25"/>
        <v>0.16606430606430611</v>
      </c>
      <c r="N106" s="53">
        <f>+SUM(E106:M106)</f>
        <v>2.9891575091575193</v>
      </c>
    </row>
    <row r="107" spans="3:25" x14ac:dyDescent="0.3">
      <c r="C107" s="20" t="s">
        <v>1</v>
      </c>
      <c r="D107" s="25" t="s">
        <v>52</v>
      </c>
      <c r="E107" s="5">
        <f t="shared" ref="E107:M114" si="26">+MAX(E95-E79,0)</f>
        <v>0</v>
      </c>
      <c r="F107" s="6">
        <f t="shared" si="26"/>
        <v>0.37804050851109761</v>
      </c>
      <c r="G107" s="6">
        <f t="shared" si="26"/>
        <v>0.85278905408317396</v>
      </c>
      <c r="H107" s="6">
        <f t="shared" si="26"/>
        <v>0.48451703416409408</v>
      </c>
      <c r="I107" s="6">
        <f t="shared" si="26"/>
        <v>0.18950867868515031</v>
      </c>
      <c r="J107" s="6">
        <f t="shared" si="26"/>
        <v>0.94754339342575022</v>
      </c>
      <c r="K107" s="6">
        <f t="shared" si="26"/>
        <v>0.18853182982594818</v>
      </c>
      <c r="L107" s="6">
        <f t="shared" si="26"/>
        <v>0.49623922047451696</v>
      </c>
      <c r="M107" s="7">
        <f t="shared" si="26"/>
        <v>0.6750025617084443</v>
      </c>
      <c r="N107" s="8">
        <f t="shared" ref="N107:N114" si="27">+SUM(E107:M107)</f>
        <v>4.2121722808781756</v>
      </c>
    </row>
    <row r="108" spans="3:25" x14ac:dyDescent="0.3">
      <c r="C108" s="20" t="s">
        <v>1</v>
      </c>
      <c r="D108" s="25" t="s">
        <v>53</v>
      </c>
      <c r="E108" s="5">
        <f t="shared" si="26"/>
        <v>0</v>
      </c>
      <c r="F108" s="6">
        <f t="shared" si="26"/>
        <v>4.6106796515450466E-2</v>
      </c>
      <c r="G108" s="6">
        <f t="shared" si="26"/>
        <v>5.2693481731943326E-2</v>
      </c>
      <c r="H108" s="6">
        <f t="shared" si="26"/>
        <v>0.69978540512194431</v>
      </c>
      <c r="I108" s="6">
        <f t="shared" si="26"/>
        <v>0.41775551994302207</v>
      </c>
      <c r="J108" s="6">
        <f t="shared" si="26"/>
        <v>0.3716487234275716</v>
      </c>
      <c r="K108" s="6">
        <f t="shared" si="26"/>
        <v>0.65367860860649518</v>
      </c>
      <c r="L108" s="6">
        <f t="shared" si="26"/>
        <v>0.39799546429354393</v>
      </c>
      <c r="M108" s="7">
        <f t="shared" si="26"/>
        <v>0.68002534947246485</v>
      </c>
      <c r="N108" s="8">
        <f t="shared" si="27"/>
        <v>3.3196893491124357</v>
      </c>
    </row>
    <row r="109" spans="3:25" x14ac:dyDescent="0.3">
      <c r="C109" s="20" t="s">
        <v>10</v>
      </c>
      <c r="D109" s="25" t="str">
        <f>+D106</f>
        <v>Agr</v>
      </c>
      <c r="E109" s="5">
        <f t="shared" si="26"/>
        <v>0</v>
      </c>
      <c r="F109" s="6">
        <f t="shared" si="26"/>
        <v>0.5794001887408502</v>
      </c>
      <c r="G109" s="6">
        <f t="shared" si="26"/>
        <v>0.51279197806670407</v>
      </c>
      <c r="H109" s="6">
        <f t="shared" si="26"/>
        <v>0.72082858126814209</v>
      </c>
      <c r="I109" s="6">
        <f t="shared" si="26"/>
        <v>0.99456095390161892</v>
      </c>
      <c r="J109" s="6">
        <f t="shared" si="26"/>
        <v>0.88689288733245064</v>
      </c>
      <c r="K109" s="6">
        <f t="shared" si="26"/>
        <v>0.99456095390161892</v>
      </c>
      <c r="L109" s="6">
        <f t="shared" si="26"/>
        <v>0.95258865676448501</v>
      </c>
      <c r="M109" s="7">
        <f t="shared" si="26"/>
        <v>0.90331682969045524</v>
      </c>
      <c r="N109" s="8">
        <f t="shared" si="27"/>
        <v>6.5449410296663251</v>
      </c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3:25" x14ac:dyDescent="0.3">
      <c r="C110" s="20" t="s">
        <v>10</v>
      </c>
      <c r="D110" s="25" t="str">
        <f t="shared" ref="D110:D114" si="28">+D107</f>
        <v>Ind</v>
      </c>
      <c r="E110" s="5">
        <f t="shared" si="26"/>
        <v>0</v>
      </c>
      <c r="F110" s="6">
        <f t="shared" si="26"/>
        <v>0.20758038258038347</v>
      </c>
      <c r="G110" s="6">
        <f t="shared" si="26"/>
        <v>0.31137057387057432</v>
      </c>
      <c r="H110" s="6">
        <f t="shared" si="26"/>
        <v>0.62274114774114864</v>
      </c>
      <c r="I110" s="6">
        <f t="shared" si="26"/>
        <v>0.72653133903134304</v>
      </c>
      <c r="J110" s="6">
        <f t="shared" si="26"/>
        <v>0.41516076516076694</v>
      </c>
      <c r="K110" s="6">
        <f t="shared" si="26"/>
        <v>0.93411172161172473</v>
      </c>
      <c r="L110" s="6">
        <f t="shared" si="26"/>
        <v>0.20758038258038392</v>
      </c>
      <c r="M110" s="7">
        <f t="shared" si="26"/>
        <v>0.83032153032152944</v>
      </c>
      <c r="N110" s="8">
        <f t="shared" si="27"/>
        <v>4.2553978428978549</v>
      </c>
    </row>
    <row r="111" spans="3:25" x14ac:dyDescent="0.3">
      <c r="C111" s="20" t="s">
        <v>10</v>
      </c>
      <c r="D111" s="25" t="str">
        <f t="shared" si="28"/>
        <v>Serv</v>
      </c>
      <c r="E111" s="5">
        <f t="shared" si="26"/>
        <v>0</v>
      </c>
      <c r="F111" s="6">
        <f t="shared" si="26"/>
        <v>0.46406191298018307</v>
      </c>
      <c r="G111" s="6">
        <f t="shared" si="26"/>
        <v>0.38801563820794627</v>
      </c>
      <c r="H111" s="6">
        <f t="shared" si="26"/>
        <v>0.20877796171065444</v>
      </c>
      <c r="I111" s="6">
        <f t="shared" si="26"/>
        <v>0.83810579466829882</v>
      </c>
      <c r="J111" s="6">
        <f t="shared" si="26"/>
        <v>0.20797957562380742</v>
      </c>
      <c r="K111" s="6">
        <f t="shared" si="26"/>
        <v>0.15987681389123765</v>
      </c>
      <c r="L111" s="6">
        <f t="shared" si="26"/>
        <v>0.56805170079208889</v>
      </c>
      <c r="M111" s="7">
        <f t="shared" si="26"/>
        <v>0.187820326930904</v>
      </c>
      <c r="N111" s="8">
        <f t="shared" si="27"/>
        <v>3.0226897248051205</v>
      </c>
    </row>
    <row r="112" spans="3:25" x14ac:dyDescent="0.3">
      <c r="C112" s="20" t="s">
        <v>11</v>
      </c>
      <c r="D112" s="25" t="str">
        <f t="shared" si="28"/>
        <v>Agr</v>
      </c>
      <c r="E112" s="5">
        <f t="shared" si="26"/>
        <v>0</v>
      </c>
      <c r="F112" s="6">
        <f t="shared" si="26"/>
        <v>0.97631212905938547</v>
      </c>
      <c r="G112" s="6">
        <f t="shared" si="26"/>
        <v>0.82484688286886243</v>
      </c>
      <c r="H112" s="6">
        <f t="shared" si="26"/>
        <v>0.87138138621655159</v>
      </c>
      <c r="I112" s="6">
        <f t="shared" si="26"/>
        <v>0.97631212905938725</v>
      </c>
      <c r="J112" s="6">
        <f t="shared" si="26"/>
        <v>0.12409200892717442</v>
      </c>
      <c r="K112" s="6">
        <f t="shared" si="26"/>
        <v>0.7272156699629253</v>
      </c>
      <c r="L112" s="6">
        <f t="shared" si="26"/>
        <v>0.9297776257116972</v>
      </c>
      <c r="M112" s="7">
        <f t="shared" si="26"/>
        <v>0.80294829305818372</v>
      </c>
      <c r="N112" s="8">
        <f t="shared" si="27"/>
        <v>6.2328861248641676</v>
      </c>
    </row>
    <row r="113" spans="1:14" x14ac:dyDescent="0.3">
      <c r="C113" s="20" t="s">
        <v>11</v>
      </c>
      <c r="D113" s="25" t="str">
        <f t="shared" si="28"/>
        <v>Ind</v>
      </c>
      <c r="E113" s="5">
        <f t="shared" si="26"/>
        <v>0</v>
      </c>
      <c r="F113" s="6">
        <f t="shared" si="26"/>
        <v>0.76365159568100971</v>
      </c>
      <c r="G113" s="6">
        <f t="shared" si="26"/>
        <v>8.1322667528549997E-2</v>
      </c>
      <c r="H113" s="6">
        <f t="shared" si="26"/>
        <v>0.86475545260839404</v>
      </c>
      <c r="I113" s="6">
        <f t="shared" si="26"/>
        <v>1.8071703895233493E-2</v>
      </c>
      <c r="J113" s="6">
        <f t="shared" si="26"/>
        <v>9.0358519476166688E-2</v>
      </c>
      <c r="K113" s="6">
        <f t="shared" si="26"/>
        <v>0.74557989178577788</v>
      </c>
      <c r="L113" s="6">
        <f t="shared" si="26"/>
        <v>0.95682345758816822</v>
      </c>
      <c r="M113" s="7">
        <f t="shared" si="26"/>
        <v>0.15531896861308647</v>
      </c>
      <c r="N113" s="8">
        <f t="shared" si="27"/>
        <v>3.6758822571763865</v>
      </c>
    </row>
    <row r="114" spans="1:14" x14ac:dyDescent="0.3">
      <c r="C114" s="20" t="s">
        <v>11</v>
      </c>
      <c r="D114" s="25" t="str">
        <f t="shared" si="28"/>
        <v>Serv</v>
      </c>
      <c r="E114" s="9">
        <f t="shared" si="26"/>
        <v>0</v>
      </c>
      <c r="F114" s="10">
        <f t="shared" si="26"/>
        <v>0.21636262953570706</v>
      </c>
      <c r="G114" s="10">
        <f t="shared" si="26"/>
        <v>0.38961241038164207</v>
      </c>
      <c r="H114" s="10">
        <f t="shared" si="26"/>
        <v>0.95966007639084694</v>
      </c>
      <c r="I114" s="10">
        <f t="shared" si="26"/>
        <v>9.3411172161172562E-2</v>
      </c>
      <c r="J114" s="10">
        <f t="shared" si="26"/>
        <v>4.3112848689771888E-2</v>
      </c>
      <c r="K114" s="10">
        <f t="shared" si="26"/>
        <v>0.32813668169437493</v>
      </c>
      <c r="L114" s="10">
        <f t="shared" si="26"/>
        <v>7.1854747816286646E-2</v>
      </c>
      <c r="M114" s="11">
        <f t="shared" si="26"/>
        <v>0.68900719294950097</v>
      </c>
      <c r="N114" s="12">
        <f t="shared" si="27"/>
        <v>2.7911577596193031</v>
      </c>
    </row>
    <row r="115" spans="1:14" x14ac:dyDescent="0.3">
      <c r="C115" s="57"/>
      <c r="D115" s="57"/>
      <c r="N115" s="19">
        <f>+SUM(E106:M114)</f>
        <v>37.043973878177304</v>
      </c>
    </row>
    <row r="116" spans="1:14" x14ac:dyDescent="0.3">
      <c r="A116" s="66"/>
    </row>
    <row r="117" spans="1:14" x14ac:dyDescent="0.3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</row>
    <row r="118" spans="1:14" x14ac:dyDescent="0.3">
      <c r="A118" s="67"/>
      <c r="C118" s="20" t="s">
        <v>1</v>
      </c>
      <c r="D118" s="28" t="s">
        <v>51</v>
      </c>
      <c r="E118" s="53">
        <f t="shared" ref="E118:E126" si="29">+MAX(F60-H47-SUM(E78:M78),0)</f>
        <v>1.8602197802197935</v>
      </c>
      <c r="F118" s="53" cm="1">
        <f t="array" ref="F118">+E118/_xlfn.XLOOKUP(D118,_xlfn.ANCHORARRAY($I$118),$K$118:$K$120,,0)</f>
        <v>0.11798196166854612</v>
      </c>
      <c r="G118" s="53" cm="1">
        <f t="array" ref="G118">+E118/_xlfn.XLOOKUP(D118,_xlfn.ANCHORARRAY($I$118),$J$118:$J$120,,0)</f>
        <v>0.21296296296296285</v>
      </c>
      <c r="I118" s="54" t="str" cm="1">
        <f t="array" ref="I118:I120">+_xlfn.UNIQUE(D118:D126)</f>
        <v>Agr</v>
      </c>
      <c r="J118" s="58">
        <f>+SUMIF($D$118:$D$126,I118,$E$118:$E$126)</f>
        <v>8.734945054945122</v>
      </c>
      <c r="K118" s="40">
        <f>+SUMIF($D$106:$D$114,I118,$N$106:$N$114)</f>
        <v>15.766984663688012</v>
      </c>
      <c r="L118" s="40">
        <f>+J118/K118</f>
        <v>0.55400225479143428</v>
      </c>
      <c r="M118" s="18"/>
    </row>
    <row r="119" spans="1:14" x14ac:dyDescent="0.3">
      <c r="C119" s="20" t="s">
        <v>1</v>
      </c>
      <c r="D119" s="25" t="s">
        <v>52</v>
      </c>
      <c r="E119" s="8">
        <f t="shared" si="29"/>
        <v>2.4263736263736462</v>
      </c>
      <c r="F119" s="8" cm="1">
        <f t="array" ref="F119">+E119/_xlfn.XLOOKUP(D119,_xlfn.ANCHORARRAY($I$118),$K$118:$K$120,,0)</f>
        <v>0.19980920995577242</v>
      </c>
      <c r="G119" s="8" cm="1">
        <f t="array" ref="G119">+E119/_xlfn.XLOOKUP(D119,_xlfn.ANCHORARRAY($I$118),$J$118:$J$120,,0)</f>
        <v>0.36923076923076914</v>
      </c>
      <c r="I119" s="55" t="str">
        <v>Ind</v>
      </c>
      <c r="J119" s="59">
        <f t="shared" ref="J119:J120" si="30">+SUMIF($D$118:$D$126,I119,$E$118:$E$126)</f>
        <v>6.5714285714286262</v>
      </c>
      <c r="K119" s="41">
        <f t="shared" ref="K119:K120" si="31">+SUMIF($D$106:$D$114,I119,$N$106:$N$114)</f>
        <v>12.143452380952418</v>
      </c>
      <c r="L119" s="41">
        <f t="shared" ref="L119:L120" si="32">+J119/K119</f>
        <v>0.54114994363021707</v>
      </c>
      <c r="M119" s="18"/>
    </row>
    <row r="120" spans="1:14" x14ac:dyDescent="0.3">
      <c r="C120" s="20" t="s">
        <v>1</v>
      </c>
      <c r="D120" s="25" t="s">
        <v>53</v>
      </c>
      <c r="E120" s="8">
        <f t="shared" si="29"/>
        <v>1.66813186813188</v>
      </c>
      <c r="F120" s="8" cm="1">
        <f t="array" ref="F120">+E120/_xlfn.XLOOKUP(D120,_xlfn.ANCHORARRAY($I$118),$K$118:$K$120,,0)</f>
        <v>0.18263810597519808</v>
      </c>
      <c r="G120" s="8" cm="1">
        <f t="array" ref="G120">+E120/_xlfn.XLOOKUP(D120,_xlfn.ANCHORARRAY($I$118),$J$118:$J$120,,0)</f>
        <v>0.31730769230769268</v>
      </c>
      <c r="I120" s="56" t="str">
        <v>Serv</v>
      </c>
      <c r="J120" s="60">
        <f t="shared" si="30"/>
        <v>5.2571428571428882</v>
      </c>
      <c r="K120" s="42">
        <f t="shared" si="31"/>
        <v>9.1335368335368585</v>
      </c>
      <c r="L120" s="42">
        <f t="shared" si="32"/>
        <v>0.57558675822486605</v>
      </c>
      <c r="M120" s="18"/>
    </row>
    <row r="121" spans="1:14" x14ac:dyDescent="0.3">
      <c r="C121" s="20" t="s">
        <v>10</v>
      </c>
      <c r="D121" s="25" t="str">
        <f>+D118</f>
        <v>Agr</v>
      </c>
      <c r="E121" s="8">
        <f t="shared" si="29"/>
        <v>3.6395604395604693</v>
      </c>
      <c r="F121" s="8" cm="1">
        <f t="array" ref="F121">+E121/_xlfn.XLOOKUP(D121,_xlfn.ANCHORARRAY($I$118),$K$118:$K$120,,0)</f>
        <v>0.23083427282976438</v>
      </c>
      <c r="G121" s="8" cm="1">
        <f t="array" ref="G121">+E121/_xlfn.XLOOKUP(D121,_xlfn.ANCHORARRAY($I$118),$J$118:$J$120,,0)</f>
        <v>0.41666666666666685</v>
      </c>
    </row>
    <row r="122" spans="1:14" x14ac:dyDescent="0.3">
      <c r="C122" s="20" t="s">
        <v>10</v>
      </c>
      <c r="D122" s="25" t="str">
        <f t="shared" ref="D122:D126" si="33">+D119</f>
        <v>Ind</v>
      </c>
      <c r="E122" s="8">
        <f t="shared" si="29"/>
        <v>2.2747252747252915</v>
      </c>
      <c r="F122" s="8" cm="1">
        <f t="array" ref="F122">+E122/_xlfn.XLOOKUP(D122,_xlfn.ANCHORARRAY($I$118),$K$118:$K$120,,0)</f>
        <v>0.1873211343335365</v>
      </c>
      <c r="G122" s="8" cm="1">
        <f t="array" ref="G122">+E122/_xlfn.XLOOKUP(D122,_xlfn.ANCHORARRAY($I$118),$J$118:$J$120,,0)</f>
        <v>0.34615384615384581</v>
      </c>
      <c r="I122" s="20" t="s">
        <v>39</v>
      </c>
    </row>
    <row r="123" spans="1:14" x14ac:dyDescent="0.3">
      <c r="C123" s="20" t="s">
        <v>10</v>
      </c>
      <c r="D123" s="25" t="str">
        <f t="shared" si="33"/>
        <v>Serv</v>
      </c>
      <c r="E123" s="8">
        <f t="shared" si="29"/>
        <v>1.7692307692307807</v>
      </c>
      <c r="F123" s="8" cm="1">
        <f t="array" ref="F123">+E123/_xlfn.XLOOKUP(D123,_xlfn.ANCHORARRAY($I$118),$K$118:$K$120,,0)</f>
        <v>0.19370708209490695</v>
      </c>
      <c r="G123" s="8" cm="1">
        <f t="array" ref="G123">+E123/_xlfn.XLOOKUP(D123,_xlfn.ANCHORARRAY($I$118),$J$118:$J$120,,0)</f>
        <v>0.33653846153846173</v>
      </c>
      <c r="I123" s="69">
        <v>1</v>
      </c>
    </row>
    <row r="124" spans="1:14" x14ac:dyDescent="0.3">
      <c r="C124" s="20" t="s">
        <v>11</v>
      </c>
      <c r="D124" s="25" t="str">
        <f t="shared" si="33"/>
        <v>Agr</v>
      </c>
      <c r="E124" s="8">
        <f t="shared" si="29"/>
        <v>3.2351648351648592</v>
      </c>
      <c r="F124" s="8" cm="1">
        <f t="array" ref="F124">+E124/_xlfn.XLOOKUP(D124,_xlfn.ANCHORARRAY($I$118),$K$118:$K$120,,0)</f>
        <v>0.20518602029312374</v>
      </c>
      <c r="G124" s="8" cm="1">
        <f t="array" ref="G124">+E124/_xlfn.XLOOKUP(D124,_xlfn.ANCHORARRAY($I$118),$J$118:$J$120,,0)</f>
        <v>0.37037037037037029</v>
      </c>
    </row>
    <row r="125" spans="1:14" x14ac:dyDescent="0.3">
      <c r="C125" s="20" t="s">
        <v>11</v>
      </c>
      <c r="D125" s="25" t="str">
        <f t="shared" si="33"/>
        <v>Ind</v>
      </c>
      <c r="E125" s="8">
        <f t="shared" si="29"/>
        <v>1.8703296703296886</v>
      </c>
      <c r="F125" s="8" cm="1">
        <f t="array" ref="F125">+E125/_xlfn.XLOOKUP(D125,_xlfn.ANCHORARRAY($I$118),$K$118:$K$120,,0)</f>
        <v>0.15401959934090814</v>
      </c>
      <c r="G125" s="8" cm="1">
        <f t="array" ref="G125">+E125/_xlfn.XLOOKUP(D125,_xlfn.ANCHORARRAY($I$118),$J$118:$J$120,,0)</f>
        <v>0.28461538461538499</v>
      </c>
    </row>
    <row r="126" spans="1:14" x14ac:dyDescent="0.3">
      <c r="C126" s="20" t="s">
        <v>11</v>
      </c>
      <c r="D126" s="25" t="str">
        <f t="shared" si="33"/>
        <v>Serv</v>
      </c>
      <c r="E126" s="12">
        <f t="shared" si="29"/>
        <v>1.8197802197802275</v>
      </c>
      <c r="F126" s="12" cm="1">
        <f t="array" ref="F126">+E126/_xlfn.XLOOKUP(D126,_xlfn.ANCHORARRAY($I$118),$K$118:$K$120,,0)</f>
        <v>0.19924157015476099</v>
      </c>
      <c r="G126" s="12" cm="1">
        <f t="array" ref="G126">+E126/_xlfn.XLOOKUP(D126,_xlfn.ANCHORARRAY($I$118),$J$118:$J$120,,0)</f>
        <v>0.34615384615384559</v>
      </c>
    </row>
    <row r="127" spans="1:14" x14ac:dyDescent="0.3">
      <c r="E127" s="19">
        <f>SUM(E118:E126)</f>
        <v>20.563516483516636</v>
      </c>
      <c r="G127" s="19">
        <f>SUM(G118:G126)</f>
        <v>3</v>
      </c>
    </row>
    <row r="128" spans="1:14" x14ac:dyDescent="0.3">
      <c r="A128" s="64"/>
      <c r="E128" s="19"/>
      <c r="G128" s="19"/>
    </row>
    <row r="129" spans="1:24" ht="15" thickBot="1" x14ac:dyDescent="0.35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</row>
    <row r="130" spans="1:24" ht="15" thickBot="1" x14ac:dyDescent="0.35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</row>
    <row r="131" spans="1:24" x14ac:dyDescent="0.3">
      <c r="D131" s="28" t="str" cm="1">
        <f t="array" ref="D131:D133">+_xlfn.UNIQUE(D118:D126)</f>
        <v>Agr</v>
      </c>
      <c r="E131" s="1">
        <f t="shared" ref="E131:M133" si="34">+SUMIF($D$106:$D$114,$D131,E$106:E$114)</f>
        <v>0</v>
      </c>
      <c r="F131" s="2">
        <f t="shared" si="34"/>
        <v>1.9708730829610017</v>
      </c>
      <c r="G131" s="2">
        <f t="shared" si="34"/>
        <v>2.1679603912570986</v>
      </c>
      <c r="H131" s="2">
        <f t="shared" si="34"/>
        <v>1.6752421205168468</v>
      </c>
      <c r="I131" s="2">
        <f t="shared" si="34"/>
        <v>1.9708730829610062</v>
      </c>
      <c r="J131" s="2">
        <f t="shared" si="34"/>
        <v>1.6752421205168522</v>
      </c>
      <c r="K131" s="2">
        <f t="shared" si="34"/>
        <v>1.9708730829610044</v>
      </c>
      <c r="L131" s="2">
        <f t="shared" si="34"/>
        <v>2.4635913537012568</v>
      </c>
      <c r="M131" s="3">
        <f t="shared" si="34"/>
        <v>1.8723294288129451</v>
      </c>
    </row>
    <row r="132" spans="1:24" x14ac:dyDescent="0.3">
      <c r="D132" s="25" t="str">
        <v>Ind</v>
      </c>
      <c r="E132" s="5">
        <f t="shared" si="34"/>
        <v>0</v>
      </c>
      <c r="F132" s="6">
        <f t="shared" si="34"/>
        <v>1.3492724867724908</v>
      </c>
      <c r="G132" s="6">
        <f t="shared" si="34"/>
        <v>1.2454822954822982</v>
      </c>
      <c r="H132" s="6">
        <f t="shared" si="34"/>
        <v>1.9720136345136368</v>
      </c>
      <c r="I132" s="6">
        <f t="shared" si="34"/>
        <v>0.93411172161172684</v>
      </c>
      <c r="J132" s="6">
        <f t="shared" si="34"/>
        <v>1.4530626780626839</v>
      </c>
      <c r="K132" s="6">
        <f t="shared" si="34"/>
        <v>1.8682234432234508</v>
      </c>
      <c r="L132" s="6">
        <f t="shared" si="34"/>
        <v>1.6606430606430691</v>
      </c>
      <c r="M132" s="7">
        <f t="shared" si="34"/>
        <v>1.6606430606430602</v>
      </c>
    </row>
    <row r="133" spans="1:24" x14ac:dyDescent="0.3">
      <c r="D133" s="25" t="str">
        <v>Serv</v>
      </c>
      <c r="E133" s="9">
        <f t="shared" si="34"/>
        <v>0</v>
      </c>
      <c r="F133" s="10">
        <f t="shared" si="34"/>
        <v>0.7265313390313406</v>
      </c>
      <c r="G133" s="10">
        <f t="shared" si="34"/>
        <v>0.83032153032153166</v>
      </c>
      <c r="H133" s="10">
        <f t="shared" si="34"/>
        <v>1.8682234432234457</v>
      </c>
      <c r="I133" s="10">
        <f t="shared" si="34"/>
        <v>1.3492724867724935</v>
      </c>
      <c r="J133" s="10">
        <f t="shared" si="34"/>
        <v>0.62274114774115086</v>
      </c>
      <c r="K133" s="10">
        <f t="shared" si="34"/>
        <v>1.1416921041921078</v>
      </c>
      <c r="L133" s="10">
        <f t="shared" si="34"/>
        <v>1.0379019129019196</v>
      </c>
      <c r="M133" s="11">
        <f t="shared" si="34"/>
        <v>1.5568528693528698</v>
      </c>
      <c r="O133" s="19"/>
    </row>
    <row r="135" spans="1:24" ht="15" thickBot="1" x14ac:dyDescent="0.35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</row>
    <row r="136" spans="1:24" ht="15" thickBot="1" x14ac:dyDescent="0.35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</row>
    <row r="137" spans="1:24" x14ac:dyDescent="0.3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0.23252747252747424</v>
      </c>
      <c r="G137" s="2" cm="1">
        <f t="array" ref="G137">+$I$123*$G118*_xlfn.XLOOKUP($D137,_xlfn.ANCHORARRAY($I$118),$L$118:$L$120,,0)*_xlfn.XLOOKUP($D137,$D$131:$D$133,G$131:G$133,,0)</f>
        <v>0.25578021978022131</v>
      </c>
      <c r="H137" s="2" cm="1">
        <f t="array" ref="H137">+$I$123*$G118*_xlfn.XLOOKUP($D137,_xlfn.ANCHORARRAY($I$118),$L$118:$L$120,,0)*_xlfn.XLOOKUP($D137,$D$131:$D$133,H$131:H$133,,0)</f>
        <v>0.19764835164835257</v>
      </c>
      <c r="I137" s="2" cm="1">
        <f t="array" ref="I137">+$I$123*$G118*_xlfn.XLOOKUP($D137,_xlfn.ANCHORARRAY($I$118),$L$118:$L$120,,0)*_xlfn.XLOOKUP($D137,$D$131:$D$133,I$131:I$133,,0)</f>
        <v>0.23252747252747477</v>
      </c>
      <c r="J137" s="2" cm="1">
        <f t="array" ref="J137">+$I$123*$G118*_xlfn.XLOOKUP($D137,_xlfn.ANCHORARRAY($I$118),$L$118:$L$120,,0)*_xlfn.XLOOKUP($D137,$D$131:$D$133,J$131:J$133,,0)</f>
        <v>0.1976483516483532</v>
      </c>
      <c r="K137" s="2" cm="1">
        <f t="array" ref="K137">+$I$123*$G118*_xlfn.XLOOKUP($D137,_xlfn.ANCHORARRAY($I$118),$L$118:$L$120,,0)*_xlfn.XLOOKUP($D137,$D$131:$D$133,K$131:K$133,,0)</f>
        <v>0.23252747252747455</v>
      </c>
      <c r="L137" s="2" cm="1">
        <f t="array" ref="L137">+$I$123*$G118*_xlfn.XLOOKUP($D137,_xlfn.ANCHORARRAY($I$118),$L$118:$L$120,,0)*_xlfn.XLOOKUP($D137,$D$131:$D$133,L$131:L$133,,0)</f>
        <v>0.29065934065934335</v>
      </c>
      <c r="M137" s="3" cm="1">
        <f t="array" ref="M137">+$I$123*$G118*_xlfn.XLOOKUP($D137,_xlfn.ANCHORARRAY($I$118),$L$118:$L$120,,0)*_xlfn.XLOOKUP($D137,$D$131:$D$133,M$131:M$133,,0)</f>
        <v>0.22090109890109977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x14ac:dyDescent="0.3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</v>
      </c>
      <c r="F138" s="6" cm="1">
        <f t="array" ref="F138">+$I$123*$G119*_xlfn.XLOOKUP($D138,_xlfn.ANCHORARRAY($I$118),$L$118:$L$120,,0)*_xlfn.XLOOKUP($D138,$D$131:$D$133,F$131:F$133,,0)</f>
        <v>0.26959706959707175</v>
      </c>
      <c r="G138" s="6" cm="1">
        <f t="array" ref="G138">+$I$123*$G119*_xlfn.XLOOKUP($D138,_xlfn.ANCHORARRAY($I$118),$L$118:$L$120,,0)*_xlfn.XLOOKUP($D138,$D$131:$D$133,G$131:G$133,,0)</f>
        <v>0.24885883347421986</v>
      </c>
      <c r="H138" s="6" cm="1">
        <f t="array" ref="H138">+$I$123*$G119*_xlfn.XLOOKUP($D138,_xlfn.ANCHORARRAY($I$118),$L$118:$L$120,,0)*_xlfn.XLOOKUP($D138,$D$131:$D$133,H$131:H$133,,0)</f>
        <v>0.39402648633418103</v>
      </c>
      <c r="I138" s="6" cm="1">
        <f t="array" ref="I138">+$I$123*$G119*_xlfn.XLOOKUP($D138,_xlfn.ANCHORARRAY($I$118),$L$118:$L$120,,0)*_xlfn.XLOOKUP($D138,$D$131:$D$133,I$131:I$133,,0)</f>
        <v>0.18664412510566555</v>
      </c>
      <c r="J138" s="6" cm="1">
        <f t="array" ref="J138">+$I$123*$G119*_xlfn.XLOOKUP($D138,_xlfn.ANCHORARRAY($I$118),$L$118:$L$120,,0)*_xlfn.XLOOKUP($D138,$D$131:$D$133,J$131:J$133,,0)</f>
        <v>0.29033530571992372</v>
      </c>
      <c r="K138" s="6" cm="1">
        <f t="array" ref="K138">+$I$123*$G119*_xlfn.XLOOKUP($D138,_xlfn.ANCHORARRAY($I$118),$L$118:$L$120,,0)*_xlfn.XLOOKUP($D138,$D$131:$D$133,K$131:K$133,,0)</f>
        <v>0.3732882502113305</v>
      </c>
      <c r="L138" s="6" cm="1">
        <f t="array" ref="L138">+$I$123*$G119*_xlfn.XLOOKUP($D138,_xlfn.ANCHORARRAY($I$118),$L$118:$L$120,,0)*_xlfn.XLOOKUP($D138,$D$131:$D$133,L$131:L$133,,0)</f>
        <v>0.33181177796562744</v>
      </c>
      <c r="M138" s="7" cm="1">
        <f t="array" ref="M138">+$I$123*$G119*_xlfn.XLOOKUP($D138,_xlfn.ANCHORARRAY($I$118),$L$118:$L$120,,0)*_xlfn.XLOOKUP($D138,$D$131:$D$133,M$131:M$133,,0)</f>
        <v>0.33181177796562566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x14ac:dyDescent="0.3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</v>
      </c>
      <c r="F139" s="6" cm="1">
        <f t="array" ref="F139">+$I$123*$G120*_xlfn.XLOOKUP($D139,_xlfn.ANCHORARRAY($I$118),$L$118:$L$120,,0)*_xlfn.XLOOKUP($D139,$D$131:$D$133,F$131:F$133,,0)</f>
        <v>0.13269230769230855</v>
      </c>
      <c r="G139" s="6" cm="1">
        <f t="array" ref="G139">+$I$123*$G120*_xlfn.XLOOKUP($D139,_xlfn.ANCHORARRAY($I$118),$L$118:$L$120,,0)*_xlfn.XLOOKUP($D139,$D$131:$D$133,G$131:G$133,,0)</f>
        <v>0.15164835164835255</v>
      </c>
      <c r="H139" s="6" cm="1">
        <f t="array" ref="H139">+$I$123*$G120*_xlfn.XLOOKUP($D139,_xlfn.ANCHORARRAY($I$118),$L$118:$L$120,,0)*_xlfn.XLOOKUP($D139,$D$131:$D$133,H$131:H$133,,0)</f>
        <v>0.34120879120879316</v>
      </c>
      <c r="I139" s="6" cm="1">
        <f t="array" ref="I139">+$I$123*$G120*_xlfn.XLOOKUP($D139,_xlfn.ANCHORARRAY($I$118),$L$118:$L$120,,0)*_xlfn.XLOOKUP($D139,$D$131:$D$133,I$131:I$133,,0)</f>
        <v>0.24642857142857372</v>
      </c>
      <c r="J139" s="6" cm="1">
        <f t="array" ref="J139">+$I$123*$G120*_xlfn.XLOOKUP($D139,_xlfn.ANCHORARRAY($I$118),$L$118:$L$120,,0)*_xlfn.XLOOKUP($D139,$D$131:$D$133,J$131:J$133,,0)</f>
        <v>0.1137362637362648</v>
      </c>
      <c r="K139" s="6" cm="1">
        <f t="array" ref="K139">+$I$123*$G120*_xlfn.XLOOKUP($D139,_xlfn.ANCHORARRAY($I$118),$L$118:$L$120,,0)*_xlfn.XLOOKUP($D139,$D$131:$D$133,K$131:K$133,,0)</f>
        <v>0.20851648351648508</v>
      </c>
      <c r="L139" s="6" cm="1">
        <f t="array" ref="L139">+$I$123*$G120*_xlfn.XLOOKUP($D139,_xlfn.ANCHORARRAY($I$118),$L$118:$L$120,,0)*_xlfn.XLOOKUP($D139,$D$131:$D$133,L$131:L$133,,0)</f>
        <v>0.18956043956044161</v>
      </c>
      <c r="M139" s="7" cm="1">
        <f t="array" ref="M139">+$I$123*$G120*_xlfn.XLOOKUP($D139,_xlfn.ANCHORARRAY($I$118),$L$118:$L$120,,0)*_xlfn.XLOOKUP($D139,$D$131:$D$133,M$131:M$133,,0)</f>
        <v>0.28434065934066066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x14ac:dyDescent="0.3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</v>
      </c>
      <c r="F140" s="6" cm="1">
        <f t="array" ref="F140">+$I$123*$G121*_xlfn.XLOOKUP($D140,_xlfn.ANCHORARRAY($I$118),$L$118:$L$120,,0)*_xlfn.XLOOKUP($D140,$D$131:$D$133,F$131:F$133,,0)</f>
        <v>0.45494505494505871</v>
      </c>
      <c r="G140" s="6" cm="1">
        <f t="array" ref="G140">+$I$123*$G121*_xlfn.XLOOKUP($D140,_xlfn.ANCHORARRAY($I$118),$L$118:$L$120,,0)*_xlfn.XLOOKUP($D140,$D$131:$D$133,G$131:G$133,,0)</f>
        <v>0.50043956043956384</v>
      </c>
      <c r="H140" s="6" cm="1">
        <f t="array" ref="H140">+$I$123*$G121*_xlfn.XLOOKUP($D140,_xlfn.ANCHORARRAY($I$118),$L$118:$L$120,,0)*_xlfn.XLOOKUP($D140,$D$131:$D$133,H$131:H$133,,0)</f>
        <v>0.38670329670329884</v>
      </c>
      <c r="I140" s="6" cm="1">
        <f t="array" ref="I140">+$I$123*$G121*_xlfn.XLOOKUP($D140,_xlfn.ANCHORARRAY($I$118),$L$118:$L$120,,0)*_xlfn.XLOOKUP($D140,$D$131:$D$133,I$131:I$133,,0)</f>
        <v>0.45494505494505971</v>
      </c>
      <c r="J140" s="6" cm="1">
        <f t="array" ref="J140">+$I$123*$G121*_xlfn.XLOOKUP($D140,_xlfn.ANCHORARRAY($I$118),$L$118:$L$120,,0)*_xlfn.XLOOKUP($D140,$D$131:$D$133,J$131:J$133,,0)</f>
        <v>0.38670329670330006</v>
      </c>
      <c r="K140" s="6" cm="1">
        <f t="array" ref="K140">+$I$123*$G121*_xlfn.XLOOKUP($D140,_xlfn.ANCHORARRAY($I$118),$L$118:$L$120,,0)*_xlfn.XLOOKUP($D140,$D$131:$D$133,K$131:K$133,,0)</f>
        <v>0.45494505494505932</v>
      </c>
      <c r="L140" s="6" cm="1">
        <f t="array" ref="L140">+$I$123*$G121*_xlfn.XLOOKUP($D140,_xlfn.ANCHORARRAY($I$118),$L$118:$L$120,,0)*_xlfn.XLOOKUP($D140,$D$131:$D$133,L$131:L$133,,0)</f>
        <v>0.56868131868132443</v>
      </c>
      <c r="M140" s="7" cm="1">
        <f t="array" ref="M140">+$I$123*$G121*_xlfn.XLOOKUP($D140,_xlfn.ANCHORARRAY($I$118),$L$118:$L$120,,0)*_xlfn.XLOOKUP($D140,$D$131:$D$133,M$131:M$133,,0)</f>
        <v>0.43219780219780424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x14ac:dyDescent="0.3">
      <c r="C141" s="20" t="s">
        <v>10</v>
      </c>
      <c r="D141" s="25" t="str">
        <f t="shared" ref="D141:D145" si="35">+D138</f>
        <v>Ind</v>
      </c>
      <c r="E141" s="5" cm="1">
        <f t="array" ref="E141">+$I$123*$G122*_xlfn.XLOOKUP($D141,_xlfn.ANCHORARRAY($I$118),$L$118:$L$120,,0)*_xlfn.XLOOKUP($D141,$D$131:$D$133,E$131:E$133,,0)</f>
        <v>0</v>
      </c>
      <c r="F141" s="6" cm="1">
        <f t="array" ref="F141">+$I$123*$G122*_xlfn.XLOOKUP($D141,_xlfn.ANCHORARRAY($I$118),$L$118:$L$120,,0)*_xlfn.XLOOKUP($D141,$D$131:$D$133,F$131:F$133,,0)</f>
        <v>0.25274725274725462</v>
      </c>
      <c r="G141" s="6" cm="1">
        <f t="array" ref="G141">+$I$123*$G122*_xlfn.XLOOKUP($D141,_xlfn.ANCHORARRAY($I$118),$L$118:$L$120,,0)*_xlfn.XLOOKUP($D141,$D$131:$D$133,G$131:G$133,,0)</f>
        <v>0.23330515638208099</v>
      </c>
      <c r="H141" s="6" cm="1">
        <f t="array" ref="H141">+$I$123*$G122*_xlfn.XLOOKUP($D141,_xlfn.ANCHORARRAY($I$118),$L$118:$L$120,,0)*_xlfn.XLOOKUP($D141,$D$131:$D$133,H$131:H$133,,0)</f>
        <v>0.36939983093829454</v>
      </c>
      <c r="I141" s="6" cm="1">
        <f t="array" ref="I141">+$I$123*$G122*_xlfn.XLOOKUP($D141,_xlfn.ANCHORARRAY($I$118),$L$118:$L$120,,0)*_xlfn.XLOOKUP($D141,$D$131:$D$133,I$131:I$133,,0)</f>
        <v>0.17497886728656134</v>
      </c>
      <c r="J141" s="6" cm="1">
        <f t="array" ref="J141">+$I$123*$G122*_xlfn.XLOOKUP($D141,_xlfn.ANCHORARRAY($I$118),$L$118:$L$120,,0)*_xlfn.XLOOKUP($D141,$D$131:$D$133,J$131:J$133,,0)</f>
        <v>0.27218934911242831</v>
      </c>
      <c r="K141" s="6" cm="1">
        <f t="array" ref="K141">+$I$123*$G122*_xlfn.XLOOKUP($D141,_xlfn.ANCHORARRAY($I$118),$L$118:$L$120,,0)*_xlfn.XLOOKUP($D141,$D$131:$D$133,K$131:K$133,,0)</f>
        <v>0.34995773457312213</v>
      </c>
      <c r="L141" s="6" cm="1">
        <f t="array" ref="L141">+$I$123*$G122*_xlfn.XLOOKUP($D141,_xlfn.ANCHORARRAY($I$118),$L$118:$L$120,,0)*_xlfn.XLOOKUP($D141,$D$131:$D$133,L$131:L$133,,0)</f>
        <v>0.31107354184277558</v>
      </c>
      <c r="M141" s="7" cm="1">
        <f t="array" ref="M141">+$I$123*$G122*_xlfn.XLOOKUP($D141,_xlfn.ANCHORARRAY($I$118),$L$118:$L$120,,0)*_xlfn.XLOOKUP($D141,$D$131:$D$133,M$131:M$133,,0)</f>
        <v>0.31107354184277392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x14ac:dyDescent="0.3">
      <c r="C142" s="20" t="s">
        <v>10</v>
      </c>
      <c r="D142" s="25" t="str">
        <f t="shared" si="35"/>
        <v>Serv</v>
      </c>
      <c r="E142" s="5" cm="1">
        <f t="array" ref="E142">+$I$123*$G123*_xlfn.XLOOKUP($D142,_xlfn.ANCHORARRAY($I$118),$L$118:$L$120,,0)*_xlfn.XLOOKUP($D142,$D$131:$D$133,E$131:E$133,,0)</f>
        <v>0</v>
      </c>
      <c r="F142" s="6" cm="1">
        <f t="array" ref="F142">+$I$123*$G123*_xlfn.XLOOKUP($D142,_xlfn.ANCHORARRAY($I$118),$L$118:$L$120,,0)*_xlfn.XLOOKUP($D142,$D$131:$D$133,F$131:F$133,,0)</f>
        <v>0.14073426573426656</v>
      </c>
      <c r="G142" s="6" cm="1">
        <f t="array" ref="G142">+$I$123*$G123*_xlfn.XLOOKUP($D142,_xlfn.ANCHORARRAY($I$118),$L$118:$L$120,,0)*_xlfn.XLOOKUP($D142,$D$131:$D$133,G$131:G$133,,0)</f>
        <v>0.16083916083916169</v>
      </c>
      <c r="H142" s="6" cm="1">
        <f t="array" ref="H142">+$I$123*$G123*_xlfn.XLOOKUP($D142,_xlfn.ANCHORARRAY($I$118),$L$118:$L$120,,0)*_xlfn.XLOOKUP($D142,$D$131:$D$133,H$131:H$133,,0)</f>
        <v>0.36188811188811371</v>
      </c>
      <c r="I142" s="6" cm="1">
        <f t="array" ref="I142">+$I$123*$G123*_xlfn.XLOOKUP($D142,_xlfn.ANCHORARRAY($I$118),$L$118:$L$120,,0)*_xlfn.XLOOKUP($D142,$D$131:$D$133,I$131:I$133,,0)</f>
        <v>0.26136363636363863</v>
      </c>
      <c r="J142" s="6" cm="1">
        <f t="array" ref="J142">+$I$123*$G123*_xlfn.XLOOKUP($D142,_xlfn.ANCHORARRAY($I$118),$L$118:$L$120,,0)*_xlfn.XLOOKUP($D142,$D$131:$D$133,J$131:J$133,,0)</f>
        <v>0.12062937062937168</v>
      </c>
      <c r="K142" s="6" cm="1">
        <f t="array" ref="K142">+$I$123*$G123*_xlfn.XLOOKUP($D142,_xlfn.ANCHORARRAY($I$118),$L$118:$L$120,,0)*_xlfn.XLOOKUP($D142,$D$131:$D$133,K$131:K$133,,0)</f>
        <v>0.22115384615384767</v>
      </c>
      <c r="L142" s="6" cm="1">
        <f t="array" ref="L142">+$I$123*$G123*_xlfn.XLOOKUP($D142,_xlfn.ANCHORARRAY($I$118),$L$118:$L$120,,0)*_xlfn.XLOOKUP($D142,$D$131:$D$133,L$131:L$133,,0)</f>
        <v>0.2010489510489531</v>
      </c>
      <c r="M142" s="7" cm="1">
        <f t="array" ref="M142">+$I$123*$G123*_xlfn.XLOOKUP($D142,_xlfn.ANCHORARRAY($I$118),$L$118:$L$120,,0)*_xlfn.XLOOKUP($D142,$D$131:$D$133,M$131:M$133,,0)</f>
        <v>0.30157342657342778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x14ac:dyDescent="0.3">
      <c r="C143" s="20" t="s">
        <v>11</v>
      </c>
      <c r="D143" s="25" t="str">
        <f t="shared" si="35"/>
        <v>Agr</v>
      </c>
      <c r="E143" s="5" cm="1">
        <f t="array" ref="E143">+$I$123*$G124*_xlfn.XLOOKUP($D143,_xlfn.ANCHORARRAY($I$118),$L$118:$L$120,,0)*_xlfn.XLOOKUP($D143,$D$131:$D$133,E$131:E$133,,0)</f>
        <v>0</v>
      </c>
      <c r="F143" s="6" cm="1">
        <f t="array" ref="F143">+$I$123*$G124*_xlfn.XLOOKUP($D143,_xlfn.ANCHORARRAY($I$118),$L$118:$L$120,,0)*_xlfn.XLOOKUP($D143,$D$131:$D$133,F$131:F$133,,0)</f>
        <v>0.40439560439560751</v>
      </c>
      <c r="G143" s="6" cm="1">
        <f t="array" ref="G143">+$I$123*$G124*_xlfn.XLOOKUP($D143,_xlfn.ANCHORARRAY($I$118),$L$118:$L$120,,0)*_xlfn.XLOOKUP($D143,$D$131:$D$133,G$131:G$133,,0)</f>
        <v>0.44483516483516761</v>
      </c>
      <c r="H143" s="6" cm="1">
        <f t="array" ref="H143">+$I$123*$G124*_xlfn.XLOOKUP($D143,_xlfn.ANCHORARRAY($I$118),$L$118:$L$120,,0)*_xlfn.XLOOKUP($D143,$D$131:$D$133,H$131:H$133,,0)</f>
        <v>0.34373626373626542</v>
      </c>
      <c r="I143" s="6" cm="1">
        <f t="array" ref="I143">+$I$123*$G124*_xlfn.XLOOKUP($D143,_xlfn.ANCHORARRAY($I$118),$L$118:$L$120,,0)*_xlfn.XLOOKUP($D143,$D$131:$D$133,I$131:I$133,,0)</f>
        <v>0.4043956043956084</v>
      </c>
      <c r="J143" s="6" cm="1">
        <f t="array" ref="J143">+$I$123*$G124*_xlfn.XLOOKUP($D143,_xlfn.ANCHORARRAY($I$118),$L$118:$L$120,,0)*_xlfn.XLOOKUP($D143,$D$131:$D$133,J$131:J$133,,0)</f>
        <v>0.34373626373626653</v>
      </c>
      <c r="K143" s="6" cm="1">
        <f t="array" ref="K143">+$I$123*$G124*_xlfn.XLOOKUP($D143,_xlfn.ANCHORARRAY($I$118),$L$118:$L$120,,0)*_xlfn.XLOOKUP($D143,$D$131:$D$133,K$131:K$133,,0)</f>
        <v>0.40439560439560807</v>
      </c>
      <c r="L143" s="6" cm="1">
        <f t="array" ref="L143">+$I$123*$G124*_xlfn.XLOOKUP($D143,_xlfn.ANCHORARRAY($I$118),$L$118:$L$120,,0)*_xlfn.XLOOKUP($D143,$D$131:$D$133,L$131:L$133,,0)</f>
        <v>0.50549450549451036</v>
      </c>
      <c r="M143" s="7" cm="1">
        <f t="array" ref="M143">+$I$123*$G124*_xlfn.XLOOKUP($D143,_xlfn.ANCHORARRAY($I$118),$L$118:$L$120,,0)*_xlfn.XLOOKUP($D143,$D$131:$D$133,M$131:M$133,,0)</f>
        <v>0.3841758241758258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x14ac:dyDescent="0.3">
      <c r="C144" s="20" t="s">
        <v>11</v>
      </c>
      <c r="D144" s="25" t="str">
        <f t="shared" si="35"/>
        <v>Ind</v>
      </c>
      <c r="E144" s="5" cm="1">
        <f t="array" ref="E144">+$I$123*$G125*_xlfn.XLOOKUP($D144,_xlfn.ANCHORARRAY($I$118),$L$118:$L$120,,0)*_xlfn.XLOOKUP($D144,$D$131:$D$133,E$131:E$133,,0)</f>
        <v>0</v>
      </c>
      <c r="F144" s="6" cm="1">
        <f t="array" ref="F144">+$I$123*$G125*_xlfn.XLOOKUP($D144,_xlfn.ANCHORARRAY($I$118),$L$118:$L$120,,0)*_xlfn.XLOOKUP($D144,$D$131:$D$133,F$131:F$133,,0)</f>
        <v>0.20781440781440982</v>
      </c>
      <c r="G144" s="6" cm="1">
        <f t="array" ref="G144">+$I$123*$G125*_xlfn.XLOOKUP($D144,_xlfn.ANCHORARRAY($I$118),$L$118:$L$120,,0)*_xlfn.XLOOKUP($D144,$D$131:$D$133,G$131:G$133,,0)</f>
        <v>0.19182868413637813</v>
      </c>
      <c r="H144" s="6" cm="1">
        <f t="array" ref="H144">+$I$123*$G125*_xlfn.XLOOKUP($D144,_xlfn.ANCHORARRAY($I$118),$L$118:$L$120,,0)*_xlfn.XLOOKUP($D144,$D$131:$D$133,H$131:H$133,,0)</f>
        <v>0.3037287498825984</v>
      </c>
      <c r="I144" s="6" cm="1">
        <f t="array" ref="I144">+$I$123*$G125*_xlfn.XLOOKUP($D144,_xlfn.ANCHORARRAY($I$118),$L$118:$L$120,,0)*_xlfn.XLOOKUP($D144,$D$131:$D$133,I$131:I$133,,0)</f>
        <v>0.1438715131022841</v>
      </c>
      <c r="J144" s="6" cm="1">
        <f t="array" ref="J144">+$I$123*$G125*_xlfn.XLOOKUP($D144,_xlfn.ANCHORARRAY($I$118),$L$118:$L$120,,0)*_xlfn.XLOOKUP($D144,$D$131:$D$133,J$131:J$133,,0)</f>
        <v>0.22380013149244157</v>
      </c>
      <c r="K144" s="6" cm="1">
        <f t="array" ref="K144">+$I$123*$G125*_xlfn.XLOOKUP($D144,_xlfn.ANCHORARRAY($I$118),$L$118:$L$120,,0)*_xlfn.XLOOKUP($D144,$D$131:$D$133,K$131:K$133,,0)</f>
        <v>0.28774302620456776</v>
      </c>
      <c r="L144" s="6" cm="1">
        <f t="array" ref="L144">+$I$123*$G125*_xlfn.XLOOKUP($D144,_xlfn.ANCHORARRAY($I$118),$L$118:$L$120,,0)*_xlfn.XLOOKUP($D144,$D$131:$D$133,L$131:L$133,,0)</f>
        <v>0.25577157884850493</v>
      </c>
      <c r="M144" s="7" cm="1">
        <f t="array" ref="M144">+$I$123*$G125*_xlfn.XLOOKUP($D144,_xlfn.ANCHORARRAY($I$118),$L$118:$L$120,,0)*_xlfn.XLOOKUP($D144,$D$131:$D$133,M$131:M$133,,0)</f>
        <v>0.25577157884850354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3:24" x14ac:dyDescent="0.3">
      <c r="C145" s="20" t="s">
        <v>11</v>
      </c>
      <c r="D145" s="25" t="str">
        <f t="shared" si="35"/>
        <v>Serv</v>
      </c>
      <c r="E145" s="9" cm="1">
        <f t="array" ref="E145">+$I$123*$G126*_xlfn.XLOOKUP($D145,_xlfn.ANCHORARRAY($I$118),$L$118:$L$120,,0)*_xlfn.XLOOKUP($D145,$D$131:$D$133,E$131:E$133,,0)</f>
        <v>0</v>
      </c>
      <c r="F145" s="10" cm="1">
        <f t="array" ref="F145">+$I$123*$G126*_xlfn.XLOOKUP($D145,_xlfn.ANCHORARRAY($I$118),$L$118:$L$120,,0)*_xlfn.XLOOKUP($D145,$D$131:$D$133,F$131:F$133,,0)</f>
        <v>0.14475524475524529</v>
      </c>
      <c r="G145" s="10" cm="1">
        <f t="array" ref="G145">+$I$123*$G126*_xlfn.XLOOKUP($D145,_xlfn.ANCHORARRAY($I$118),$L$118:$L$120,,0)*_xlfn.XLOOKUP($D145,$D$131:$D$133,G$131:G$133,,0)</f>
        <v>0.16543456543456594</v>
      </c>
      <c r="H145" s="10" cm="1">
        <f t="array" ref="H145">+$I$123*$G126*_xlfn.XLOOKUP($D145,_xlfn.ANCHORARRAY($I$118),$L$118:$L$120,,0)*_xlfn.XLOOKUP($D145,$D$131:$D$133,H$131:H$133,,0)</f>
        <v>0.37222777222777331</v>
      </c>
      <c r="I145" s="10" cm="1">
        <f t="array" ref="I145">+$I$123*$G126*_xlfn.XLOOKUP($D145,_xlfn.ANCHORARRAY($I$118),$L$118:$L$120,,0)*_xlfn.XLOOKUP($D145,$D$131:$D$133,I$131:I$133,,0)</f>
        <v>0.26883116883117059</v>
      </c>
      <c r="J145" s="10" cm="1">
        <f t="array" ref="J145">+$I$123*$G126*_xlfn.XLOOKUP($D145,_xlfn.ANCHORARRAY($I$118),$L$118:$L$120,,0)*_xlfn.XLOOKUP($D145,$D$131:$D$133,J$131:J$133,,0)</f>
        <v>0.12407592407592488</v>
      </c>
      <c r="K145" s="10" cm="1">
        <f t="array" ref="K145">+$I$123*$G126*_xlfn.XLOOKUP($D145,_xlfn.ANCHORARRAY($I$118),$L$118:$L$120,,0)*_xlfn.XLOOKUP($D145,$D$131:$D$133,K$131:K$133,,0)</f>
        <v>0.22747252747252852</v>
      </c>
      <c r="L145" s="10" cm="1">
        <f t="array" ref="L145">+$I$123*$G126*_xlfn.XLOOKUP($D145,_xlfn.ANCHORARRAY($I$118),$L$118:$L$120,,0)*_xlfn.XLOOKUP($D145,$D$131:$D$133,L$131:L$133,,0)</f>
        <v>0.20679320679320845</v>
      </c>
      <c r="M145" s="11" cm="1">
        <f t="array" ref="M145">+$I$123*$G126*_xlfn.XLOOKUP($D145,_xlfn.ANCHORARRAY($I$118),$L$118:$L$120,,0)*_xlfn.XLOOKUP($D145,$D$131:$D$133,M$131:M$133,,0)</f>
        <v>0.31018981018981073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3:24" x14ac:dyDescent="0.3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4" x14ac:dyDescent="0.3">
      <c r="O147" s="19"/>
    </row>
    <row r="148" spans="3:24" ht="15" thickBot="1" x14ac:dyDescent="0.35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4" ht="15" thickBot="1" x14ac:dyDescent="0.35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4" x14ac:dyDescent="0.3">
      <c r="C150" s="20" t="s">
        <v>1</v>
      </c>
      <c r="D150" s="28" t="s">
        <v>51</v>
      </c>
      <c r="E150" s="1">
        <f t="shared" ref="E150:M158" si="36">+E78+E137</f>
        <v>7.5956043956043935</v>
      </c>
      <c r="F150" s="2">
        <f t="shared" si="36"/>
        <v>4.0303296703296709</v>
      </c>
      <c r="G150" s="2">
        <f t="shared" si="36"/>
        <v>7.8513846153846147</v>
      </c>
      <c r="H150" s="2">
        <f t="shared" si="36"/>
        <v>0.95720879120879199</v>
      </c>
      <c r="I150" s="2">
        <f t="shared" si="36"/>
        <v>0.23252747252747477</v>
      </c>
      <c r="J150" s="2">
        <f t="shared" si="36"/>
        <v>6.2741318681318683</v>
      </c>
      <c r="K150" s="2">
        <f t="shared" si="36"/>
        <v>2.511208791208793</v>
      </c>
      <c r="L150" s="2">
        <f t="shared" si="36"/>
        <v>5.6075824175824192</v>
      </c>
      <c r="M150" s="3">
        <f t="shared" si="36"/>
        <v>1.7400219780219786</v>
      </c>
      <c r="N150" s="19"/>
      <c r="O150" s="19"/>
    </row>
    <row r="151" spans="3:24" x14ac:dyDescent="0.3">
      <c r="C151" s="20" t="s">
        <v>1</v>
      </c>
      <c r="D151" s="25" t="s">
        <v>52</v>
      </c>
      <c r="E151" s="5">
        <f t="shared" si="36"/>
        <v>7.0415720749838364</v>
      </c>
      <c r="F151" s="6">
        <f t="shared" si="36"/>
        <v>3.7278310708898932</v>
      </c>
      <c r="G151" s="6">
        <f t="shared" si="36"/>
        <v>8.0499913480184979</v>
      </c>
      <c r="H151" s="6">
        <f t="shared" si="36"/>
        <v>4.8262850512986253</v>
      </c>
      <c r="I151" s="6">
        <f t="shared" si="36"/>
        <v>1.9202291283377286</v>
      </c>
      <c r="J151" s="6">
        <f t="shared" si="36"/>
        <v>8.9582603218802284</v>
      </c>
      <c r="K151" s="6">
        <f t="shared" si="36"/>
        <v>2.0979372482720944</v>
      </c>
      <c r="L151" s="6">
        <f t="shared" si="36"/>
        <v>4.8713024049856619</v>
      </c>
      <c r="M151" s="7">
        <f t="shared" si="36"/>
        <v>6.5065913513334364</v>
      </c>
      <c r="N151" s="19"/>
      <c r="O151" s="19"/>
    </row>
    <row r="152" spans="3:24" x14ac:dyDescent="0.3">
      <c r="C152" s="20" t="s">
        <v>1</v>
      </c>
      <c r="D152" s="25" t="s">
        <v>53</v>
      </c>
      <c r="E152" s="5">
        <f t="shared" si="36"/>
        <v>0.96405748098055699</v>
      </c>
      <c r="F152" s="6">
        <f t="shared" si="36"/>
        <v>0.55446745562130251</v>
      </c>
      <c r="G152" s="6">
        <f t="shared" si="36"/>
        <v>0.63367709213863155</v>
      </c>
      <c r="H152" s="6">
        <f t="shared" si="36"/>
        <v>6.7426965342349963</v>
      </c>
      <c r="I152" s="6">
        <f t="shared" si="36"/>
        <v>4.0679670329670339</v>
      </c>
      <c r="J152" s="6">
        <f t="shared" si="36"/>
        <v>3.5134995773457307</v>
      </c>
      <c r="K152" s="6">
        <f t="shared" si="36"/>
        <v>6.188229078613694</v>
      </c>
      <c r="L152" s="6">
        <f t="shared" si="36"/>
        <v>3.8303381234150473</v>
      </c>
      <c r="M152" s="7">
        <f t="shared" si="36"/>
        <v>6.5050676246830097</v>
      </c>
      <c r="N152" s="19"/>
      <c r="O152" s="19"/>
    </row>
    <row r="153" spans="3:24" x14ac:dyDescent="0.3">
      <c r="C153" s="20" t="s">
        <v>10</v>
      </c>
      <c r="D153" s="25" t="str">
        <f>+D150</f>
        <v>Agr</v>
      </c>
      <c r="E153" s="5">
        <f t="shared" si="36"/>
        <v>8.4887139234391942</v>
      </c>
      <c r="F153" s="6">
        <f t="shared" si="36"/>
        <v>5.7551744958338382</v>
      </c>
      <c r="G153" s="6">
        <f t="shared" si="36"/>
        <v>5.1913512860765643</v>
      </c>
      <c r="H153" s="6">
        <f t="shared" si="36"/>
        <v>6.9806895302499701</v>
      </c>
      <c r="I153" s="6">
        <f t="shared" si="36"/>
        <v>9.552976693636035</v>
      </c>
      <c r="J153" s="6">
        <f t="shared" si="36"/>
        <v>8.4998104093708484</v>
      </c>
      <c r="K153" s="6">
        <f t="shared" si="36"/>
        <v>9.552976693636035</v>
      </c>
      <c r="L153" s="6">
        <f t="shared" si="36"/>
        <v>9.2827593285835057</v>
      </c>
      <c r="M153" s="7">
        <f t="shared" si="36"/>
        <v>8.6955476391740127</v>
      </c>
      <c r="N153" s="19"/>
      <c r="O153" s="19"/>
    </row>
    <row r="154" spans="3:24" x14ac:dyDescent="0.3">
      <c r="C154" s="20" t="s">
        <v>10</v>
      </c>
      <c r="D154" s="25" t="str">
        <f t="shared" ref="D154:D158" si="37">+D151</f>
        <v>Ind</v>
      </c>
      <c r="E154" s="5">
        <f t="shared" si="36"/>
        <v>3.7978021978021967</v>
      </c>
      <c r="F154" s="6">
        <f t="shared" si="36"/>
        <v>2.1516483516483542</v>
      </c>
      <c r="G154" s="6">
        <f t="shared" si="36"/>
        <v>3.0816568047337292</v>
      </c>
      <c r="H154" s="6">
        <f t="shared" si="36"/>
        <v>6.0661031276415898</v>
      </c>
      <c r="I154" s="6">
        <f t="shared" si="36"/>
        <v>6.8211327134404032</v>
      </c>
      <c r="J154" s="6">
        <f t="shared" si="36"/>
        <v>4.0699915469146255</v>
      </c>
      <c r="K154" s="6">
        <f t="shared" si="36"/>
        <v>8.8950126796280635</v>
      </c>
      <c r="L154" s="6">
        <f t="shared" si="36"/>
        <v>2.2099746407438756</v>
      </c>
      <c r="M154" s="7">
        <f t="shared" si="36"/>
        <v>7.9066779374471663</v>
      </c>
      <c r="N154" s="19"/>
      <c r="O154" s="19"/>
    </row>
    <row r="155" spans="3:24" x14ac:dyDescent="0.3">
      <c r="C155" s="20" t="s">
        <v>10</v>
      </c>
      <c r="D155" s="25" t="str">
        <f t="shared" si="37"/>
        <v>Serv</v>
      </c>
      <c r="E155" s="5">
        <f t="shared" si="36"/>
        <v>5.5798478444632273</v>
      </c>
      <c r="F155" s="6">
        <f t="shared" si="36"/>
        <v>4.3858737416429721</v>
      </c>
      <c r="G155" s="6">
        <f t="shared" si="36"/>
        <v>3.710323522631215</v>
      </c>
      <c r="H155" s="6">
        <f t="shared" si="36"/>
        <v>2.2717444094367174</v>
      </c>
      <c r="I155" s="6">
        <f t="shared" si="36"/>
        <v>7.9281768231768224</v>
      </c>
      <c r="J155" s="6">
        <f t="shared" si="36"/>
        <v>2.0231822024129715</v>
      </c>
      <c r="K155" s="6">
        <f t="shared" si="36"/>
        <v>1.6836728655959434</v>
      </c>
      <c r="L155" s="6">
        <f t="shared" si="36"/>
        <v>5.3974648428494589</v>
      </c>
      <c r="M155" s="7">
        <f t="shared" si="36"/>
        <v>2.0197137477906724</v>
      </c>
      <c r="N155" s="19"/>
    </row>
    <row r="156" spans="3:24" x14ac:dyDescent="0.3">
      <c r="C156" s="20" t="s">
        <v>11</v>
      </c>
      <c r="D156" s="25" t="str">
        <f t="shared" si="37"/>
        <v>Agr</v>
      </c>
      <c r="E156" s="5">
        <f t="shared" si="36"/>
        <v>3.7477212896993102</v>
      </c>
      <c r="F156" s="6">
        <f t="shared" si="36"/>
        <v>9.3354908827436311</v>
      </c>
      <c r="G156" s="6">
        <f t="shared" si="36"/>
        <v>7.9903586523366776</v>
      </c>
      <c r="H156" s="6">
        <f t="shared" si="36"/>
        <v>8.3149474701123047</v>
      </c>
      <c r="I156" s="6">
        <f t="shared" si="36"/>
        <v>9.3354908827436294</v>
      </c>
      <c r="J156" s="6">
        <f t="shared" si="36"/>
        <v>1.4789035140683509</v>
      </c>
      <c r="K156" s="6">
        <f t="shared" si="36"/>
        <v>7.0568095640623136</v>
      </c>
      <c r="L156" s="6">
        <f t="shared" si="36"/>
        <v>9.0109020649680005</v>
      </c>
      <c r="M156" s="7">
        <f t="shared" si="36"/>
        <v>7.7293756792657913</v>
      </c>
      <c r="N156" s="19"/>
    </row>
    <row r="157" spans="3:24" x14ac:dyDescent="0.3">
      <c r="C157" s="20" t="s">
        <v>11</v>
      </c>
      <c r="D157" s="25" t="str">
        <f t="shared" si="37"/>
        <v>Ind</v>
      </c>
      <c r="E157" s="5">
        <f t="shared" si="36"/>
        <v>1.503482870071104</v>
      </c>
      <c r="F157" s="6">
        <f t="shared" si="36"/>
        <v>7.1935364504776258</v>
      </c>
      <c r="G157" s="6">
        <f t="shared" si="36"/>
        <v>0.93575111464704441</v>
      </c>
      <c r="H157" s="6">
        <f t="shared" si="36"/>
        <v>8.2143273277752904</v>
      </c>
      <c r="I157" s="6">
        <f t="shared" si="36"/>
        <v>0.30918760877132201</v>
      </c>
      <c r="J157" s="6">
        <f t="shared" si="36"/>
        <v>1.0503806098376245</v>
      </c>
      <c r="K157" s="6">
        <f t="shared" si="36"/>
        <v>7.1081489731987499</v>
      </c>
      <c r="L157" s="6">
        <f t="shared" si="36"/>
        <v>9.0085886441361538</v>
      </c>
      <c r="M157" s="7">
        <f t="shared" si="36"/>
        <v>1.6765964010850924</v>
      </c>
      <c r="N157" s="19"/>
    </row>
    <row r="158" spans="3:24" x14ac:dyDescent="0.3">
      <c r="C158" s="20" t="s">
        <v>11</v>
      </c>
      <c r="D158" s="25" t="str">
        <f t="shared" si="37"/>
        <v>Serv</v>
      </c>
      <c r="E158" s="9">
        <f t="shared" si="36"/>
        <v>8.6473034657650008</v>
      </c>
      <c r="F158" s="10">
        <f t="shared" si="36"/>
        <v>2.1239944670713902</v>
      </c>
      <c r="G158" s="10">
        <f t="shared" si="36"/>
        <v>3.7295258587566278</v>
      </c>
      <c r="H158" s="10">
        <f t="shared" si="36"/>
        <v>9.1509936217628507</v>
      </c>
      <c r="I158" s="10">
        <f t="shared" si="36"/>
        <v>1.1233366633366639</v>
      </c>
      <c r="J158" s="10">
        <f t="shared" si="36"/>
        <v>0.51846307538615255</v>
      </c>
      <c r="K158" s="10">
        <f t="shared" si="36"/>
        <v>3.2291969568892647</v>
      </c>
      <c r="L158" s="10">
        <f t="shared" si="36"/>
        <v>0.86410512564358777</v>
      </c>
      <c r="M158" s="11">
        <f t="shared" si="36"/>
        <v>6.6130807653884576</v>
      </c>
      <c r="N158" s="19"/>
    </row>
    <row r="159" spans="3:24" x14ac:dyDescent="0.3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406.79999999999961</v>
      </c>
    </row>
    <row r="161" spans="1:13" x14ac:dyDescent="0.3">
      <c r="A161" s="66"/>
    </row>
    <row r="162" spans="1:13" ht="15" thickBot="1" x14ac:dyDescent="0.35">
      <c r="A162" s="68" t="s">
        <v>41</v>
      </c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ht="15" thickBot="1" x14ac:dyDescent="0.35">
      <c r="D163" s="23"/>
      <c r="E163" s="27"/>
      <c r="F163" s="26"/>
      <c r="G163" s="26"/>
      <c r="H163" s="26"/>
      <c r="I163" s="26"/>
      <c r="J163" s="26"/>
      <c r="K163" s="26"/>
      <c r="L163" s="26"/>
      <c r="M163" s="26"/>
    </row>
    <row r="164" spans="1:13" x14ac:dyDescent="0.3">
      <c r="D164" s="28"/>
      <c r="E164" s="1"/>
      <c r="F164" s="2"/>
      <c r="G164" s="2"/>
      <c r="H164" s="2"/>
      <c r="I164" s="2"/>
      <c r="J164" s="2"/>
      <c r="K164" s="2"/>
      <c r="L164" s="2"/>
      <c r="M164" s="3"/>
    </row>
    <row r="165" spans="1:13" x14ac:dyDescent="0.3">
      <c r="D165" s="25"/>
      <c r="E165" s="5"/>
      <c r="F165" s="6"/>
      <c r="G165" s="6"/>
      <c r="H165" s="6"/>
      <c r="I165" s="6"/>
      <c r="J165" s="6"/>
      <c r="K165" s="6"/>
      <c r="L165" s="6"/>
      <c r="M165" s="7"/>
    </row>
    <row r="166" spans="1:13" x14ac:dyDescent="0.3">
      <c r="D166" s="25"/>
      <c r="E166" s="9"/>
      <c r="F166" s="10"/>
      <c r="G166" s="10"/>
      <c r="H166" s="10"/>
      <c r="I166" s="10"/>
      <c r="J166" s="10"/>
      <c r="K166" s="10"/>
      <c r="L166" s="10"/>
      <c r="M166" s="11"/>
    </row>
    <row r="167" spans="1:13" x14ac:dyDescent="0.3">
      <c r="D167" s="25"/>
      <c r="E167" s="70"/>
      <c r="F167" s="71"/>
      <c r="G167" s="71"/>
      <c r="H167" s="71"/>
      <c r="I167" s="71"/>
      <c r="J167" s="71"/>
      <c r="K167" s="71"/>
      <c r="L167" s="71"/>
      <c r="M167" s="72"/>
    </row>
    <row r="169" spans="1:13" ht="15" thickBot="1" x14ac:dyDescent="0.35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</row>
    <row r="170" spans="1:13" ht="15" thickBot="1" x14ac:dyDescent="0.35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</row>
    <row r="171" spans="1:13" x14ac:dyDescent="0.3">
      <c r="D171" s="28" t="str" cm="1">
        <f t="array" ref="D171:D173">+_xlfn.UNIQUE($D$150:$D$158)</f>
        <v>Agr</v>
      </c>
      <c r="E171" s="121">
        <f>+IO_sub_model!E171</f>
        <v>0.30985915492957744</v>
      </c>
      <c r="F171" s="122">
        <f>+IO_sub_model!F171</f>
        <v>0.36363636363636365</v>
      </c>
      <c r="G171" s="122">
        <f>+IO_sub_model!G171</f>
        <v>0.46808510638297873</v>
      </c>
      <c r="H171" s="122">
        <f>+IO_sub_model!H171</f>
        <v>0.2073170731707317</v>
      </c>
      <c r="I171" s="122">
        <f>+IO_sub_model!I171</f>
        <v>0.4</v>
      </c>
      <c r="J171" s="122">
        <f>+IO_sub_model!J171</f>
        <v>0.30909090909090908</v>
      </c>
      <c r="K171" s="122">
        <f>+IO_sub_model!K171</f>
        <v>0.25316455696202533</v>
      </c>
      <c r="L171" s="122">
        <f>+IO_sub_model!L171</f>
        <v>0.38461538461538464</v>
      </c>
      <c r="M171" s="123">
        <f>+IO_sub_model!M171</f>
        <v>0.31666666666666665</v>
      </c>
    </row>
    <row r="172" spans="1:13" x14ac:dyDescent="0.3">
      <c r="D172" s="25" t="str">
        <v>Ind</v>
      </c>
      <c r="E172" s="124">
        <f>+IO_sub_model!E172</f>
        <v>0.18309859154929578</v>
      </c>
      <c r="F172" s="125">
        <f>+IO_sub_model!F172</f>
        <v>0.23636363636363636</v>
      </c>
      <c r="G172" s="125">
        <f>+IO_sub_model!G172</f>
        <v>0.25531914893617019</v>
      </c>
      <c r="H172" s="125">
        <f>+IO_sub_model!H172</f>
        <v>0.23170731707317074</v>
      </c>
      <c r="I172" s="125">
        <f>+IO_sub_model!I172</f>
        <v>0.18</v>
      </c>
      <c r="J172" s="125">
        <f>+IO_sub_model!J172</f>
        <v>0.25454545454545452</v>
      </c>
      <c r="K172" s="125">
        <f>+IO_sub_model!K172</f>
        <v>0.22784810126582278</v>
      </c>
      <c r="L172" s="125">
        <f>+IO_sub_model!L172</f>
        <v>0.24615384615384617</v>
      </c>
      <c r="M172" s="126">
        <f>+IO_sub_model!M172</f>
        <v>0.26666666666666666</v>
      </c>
    </row>
    <row r="173" spans="1:13" x14ac:dyDescent="0.3">
      <c r="D173" s="25" t="str">
        <v>Serv</v>
      </c>
      <c r="E173" s="127">
        <f>+IO_sub_model!E173</f>
        <v>0.22535211267605634</v>
      </c>
      <c r="F173" s="128">
        <f>+IO_sub_model!F173</f>
        <v>0.12727272727272726</v>
      </c>
      <c r="G173" s="128">
        <f>+IO_sub_model!G173</f>
        <v>0.1702127659574468</v>
      </c>
      <c r="H173" s="128">
        <f>+IO_sub_model!H173</f>
        <v>0.21951219512195122</v>
      </c>
      <c r="I173" s="128">
        <f>+IO_sub_model!I173</f>
        <v>0.26</v>
      </c>
      <c r="J173" s="128">
        <f>+IO_sub_model!J173</f>
        <v>0.10909090909090909</v>
      </c>
      <c r="K173" s="128">
        <f>+IO_sub_model!K173</f>
        <v>0.13924050632911392</v>
      </c>
      <c r="L173" s="128">
        <f>+IO_sub_model!L173</f>
        <v>0.15384615384615385</v>
      </c>
      <c r="M173" s="129">
        <f>+IO_sub_model!M173</f>
        <v>0.25</v>
      </c>
    </row>
    <row r="175" spans="1:13" ht="15" thickBot="1" x14ac:dyDescent="0.35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</row>
    <row r="176" spans="1:13" ht="15" thickBot="1" x14ac:dyDescent="0.35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</row>
    <row r="177" spans="2:14" x14ac:dyDescent="0.3">
      <c r="D177" s="28" t="str" cm="1">
        <f t="array" ref="D177:D179">+_xlfn.UNIQUE($D$150:$D$158)</f>
        <v>Agr</v>
      </c>
      <c r="E177" s="1">
        <f>+SUMIF($D$150:$D$158,$D177,E$150:E$158)</f>
        <v>19.8320396087429</v>
      </c>
      <c r="F177" s="2">
        <f t="shared" ref="F177:M179" si="38">+SUMIF($D$150:$D$158,$D177,F$150:F$158)</f>
        <v>19.12099504890714</v>
      </c>
      <c r="G177" s="2">
        <f t="shared" si="38"/>
        <v>21.033094553797856</v>
      </c>
      <c r="H177" s="2">
        <f t="shared" si="38"/>
        <v>16.252845791571069</v>
      </c>
      <c r="I177" s="2">
        <f t="shared" si="38"/>
        <v>19.12099504890714</v>
      </c>
      <c r="J177" s="2">
        <f t="shared" si="38"/>
        <v>16.252845791571065</v>
      </c>
      <c r="K177" s="2">
        <f t="shared" si="38"/>
        <v>19.12099504890714</v>
      </c>
      <c r="L177" s="2">
        <f t="shared" si="38"/>
        <v>23.901243811133924</v>
      </c>
      <c r="M177" s="3">
        <f t="shared" si="38"/>
        <v>18.164945296461781</v>
      </c>
    </row>
    <row r="178" spans="2:14" x14ac:dyDescent="0.3">
      <c r="D178" s="25" t="str">
        <v>Ind</v>
      </c>
      <c r="E178" s="5">
        <f t="shared" ref="E178:E179" si="39">+SUMIF($D$150:$D$158,$D178,E$150:E$158)</f>
        <v>12.342857142857138</v>
      </c>
      <c r="F178" s="6">
        <f t="shared" si="38"/>
        <v>13.073015873015873</v>
      </c>
      <c r="G178" s="6">
        <f t="shared" si="38"/>
        <v>12.067399267399271</v>
      </c>
      <c r="H178" s="6">
        <f t="shared" si="38"/>
        <v>19.106715506715506</v>
      </c>
      <c r="I178" s="6">
        <f t="shared" si="38"/>
        <v>9.0505494505494539</v>
      </c>
      <c r="J178" s="6">
        <f t="shared" si="38"/>
        <v>14.078632478632478</v>
      </c>
      <c r="K178" s="6">
        <f t="shared" si="38"/>
        <v>18.101098901098908</v>
      </c>
      <c r="L178" s="6">
        <f t="shared" si="38"/>
        <v>16.08986568986569</v>
      </c>
      <c r="M178" s="7">
        <f t="shared" si="38"/>
        <v>16.089865689865697</v>
      </c>
    </row>
    <row r="179" spans="2:14" x14ac:dyDescent="0.3">
      <c r="D179" s="25" t="str">
        <v>Serv</v>
      </c>
      <c r="E179" s="9">
        <f t="shared" si="39"/>
        <v>15.191208791208785</v>
      </c>
      <c r="F179" s="10">
        <f t="shared" si="38"/>
        <v>7.0643356643356645</v>
      </c>
      <c r="G179" s="10">
        <f t="shared" si="38"/>
        <v>8.0735264735264742</v>
      </c>
      <c r="H179" s="10">
        <f t="shared" si="38"/>
        <v>18.165434565434566</v>
      </c>
      <c r="I179" s="10">
        <f t="shared" si="38"/>
        <v>13.11948051948052</v>
      </c>
      <c r="J179" s="10">
        <f t="shared" si="38"/>
        <v>6.0551448551448548</v>
      </c>
      <c r="K179" s="10">
        <f t="shared" si="38"/>
        <v>11.101098901098903</v>
      </c>
      <c r="L179" s="10">
        <f t="shared" si="38"/>
        <v>10.091908091908094</v>
      </c>
      <c r="M179" s="11">
        <f t="shared" si="38"/>
        <v>15.13786213786214</v>
      </c>
    </row>
    <row r="181" spans="2:14" x14ac:dyDescent="0.3">
      <c r="E181" s="1">
        <f>+E177/E171</f>
        <v>64.003400555488454</v>
      </c>
      <c r="F181" s="2">
        <f t="shared" ref="F181:M181" si="40">+F177/F171</f>
        <v>52.582736384494638</v>
      </c>
      <c r="G181" s="2">
        <f t="shared" si="40"/>
        <v>44.934338364931783</v>
      </c>
      <c r="H181" s="2">
        <f t="shared" si="40"/>
        <v>78.39607970051928</v>
      </c>
      <c r="I181" s="2">
        <f t="shared" si="40"/>
        <v>47.802487622267847</v>
      </c>
      <c r="J181" s="2">
        <f t="shared" si="40"/>
        <v>52.582736384494623</v>
      </c>
      <c r="K181" s="2">
        <f t="shared" si="40"/>
        <v>75.527930443183195</v>
      </c>
      <c r="L181" s="2">
        <f t="shared" si="40"/>
        <v>62.143233908948197</v>
      </c>
      <c r="M181" s="3">
        <f t="shared" si="40"/>
        <v>57.362985146721414</v>
      </c>
    </row>
    <row r="182" spans="2:14" x14ac:dyDescent="0.3">
      <c r="E182" s="5">
        <f t="shared" ref="E182:M183" si="41">+E178/E172</f>
        <v>67.410989010988985</v>
      </c>
      <c r="F182" s="6">
        <f t="shared" si="41"/>
        <v>55.308913308913311</v>
      </c>
      <c r="G182" s="6">
        <f t="shared" si="41"/>
        <v>47.263980463980481</v>
      </c>
      <c r="H182" s="6">
        <f t="shared" si="41"/>
        <v>82.460561660561652</v>
      </c>
      <c r="I182" s="6">
        <f t="shared" si="41"/>
        <v>50.280830280830301</v>
      </c>
      <c r="J182" s="6">
        <f t="shared" si="41"/>
        <v>55.308913308913311</v>
      </c>
      <c r="K182" s="6">
        <f t="shared" si="41"/>
        <v>79.443711843711881</v>
      </c>
      <c r="L182" s="6">
        <f t="shared" si="41"/>
        <v>65.365079365079353</v>
      </c>
      <c r="M182" s="7">
        <f t="shared" si="41"/>
        <v>60.336996336996364</v>
      </c>
    </row>
    <row r="183" spans="2:14" x14ac:dyDescent="0.3">
      <c r="E183" s="73">
        <f t="shared" si="41"/>
        <v>67.410989010988985</v>
      </c>
      <c r="F183" s="74">
        <f t="shared" si="41"/>
        <v>55.505494505494511</v>
      </c>
      <c r="G183" s="74">
        <f t="shared" si="41"/>
        <v>47.43196803196804</v>
      </c>
      <c r="H183" s="74">
        <f t="shared" si="41"/>
        <v>82.75364635364636</v>
      </c>
      <c r="I183" s="74">
        <f t="shared" si="41"/>
        <v>50.459540459540463</v>
      </c>
      <c r="J183" s="74">
        <f t="shared" si="41"/>
        <v>55.505494505494504</v>
      </c>
      <c r="K183" s="74">
        <f t="shared" si="41"/>
        <v>79.726073926073937</v>
      </c>
      <c r="L183" s="74">
        <f t="shared" si="41"/>
        <v>65.597402597402606</v>
      </c>
      <c r="M183" s="75">
        <f t="shared" si="41"/>
        <v>60.551448551448559</v>
      </c>
    </row>
    <row r="184" spans="2:14" x14ac:dyDescent="0.3">
      <c r="D184" s="25" t="s">
        <v>47</v>
      </c>
      <c r="E184" s="13">
        <f>+MIN(E181:E183)</f>
        <v>64.003400555488454</v>
      </c>
      <c r="F184" s="14">
        <f t="shared" ref="F184:M184" si="42">+MIN(F181:F183)</f>
        <v>52.582736384494638</v>
      </c>
      <c r="G184" s="14">
        <f t="shared" si="42"/>
        <v>44.934338364931783</v>
      </c>
      <c r="H184" s="14">
        <f t="shared" si="42"/>
        <v>78.39607970051928</v>
      </c>
      <c r="I184" s="14">
        <f t="shared" si="42"/>
        <v>47.802487622267847</v>
      </c>
      <c r="J184" s="14">
        <f t="shared" si="42"/>
        <v>52.582736384494623</v>
      </c>
      <c r="K184" s="14">
        <f t="shared" si="42"/>
        <v>75.527930443183195</v>
      </c>
      <c r="L184" s="14">
        <f t="shared" si="42"/>
        <v>62.143233908948197</v>
      </c>
      <c r="M184" s="15">
        <f t="shared" si="42"/>
        <v>57.362985146721414</v>
      </c>
      <c r="N184" s="19">
        <f>+SUM(E184:M184)</f>
        <v>535.33592851104947</v>
      </c>
    </row>
    <row r="187" spans="2:14" x14ac:dyDescent="0.3"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</row>
    <row r="188" spans="2:14" x14ac:dyDescent="0.3">
      <c r="B188" s="18"/>
      <c r="C188" s="5" cm="1">
        <f t="array" ref="C188:C196">+H47:H55</f>
        <v>30.610989010989009</v>
      </c>
      <c r="D188" s="136">
        <f>+MAX(G188-SUM(E150:M150),0)</f>
        <v>27.20340055548845</v>
      </c>
      <c r="E188" s="117">
        <f>+C188-D188</f>
        <v>3.4075884555005587</v>
      </c>
      <c r="F188" s="78">
        <f>+SUM(E150:M150)+C188</f>
        <v>67.410989010989013</v>
      </c>
      <c r="G188" s="79" cm="1">
        <f t="array" ref="G188:G196">+TRANSPOSE(E184:M184)</f>
        <v>64.003400555488454</v>
      </c>
      <c r="H188" s="117">
        <f>+F188-G188</f>
        <v>3.4075884555005587</v>
      </c>
      <c r="I188" s="120" t="b">
        <f>+H188&lt;0.001</f>
        <v>0</v>
      </c>
    </row>
    <row r="189" spans="2:14" x14ac:dyDescent="0.3">
      <c r="B189" s="18"/>
      <c r="C189" s="5">
        <v>4.219780219780219</v>
      </c>
      <c r="D189" s="79">
        <f t="shared" ref="D189:D196" si="43">+MAX(G189-SUM(E151:M151),0)</f>
        <v>4.5827363844946376</v>
      </c>
      <c r="E189" s="117">
        <f t="shared" ref="E189:E196" si="44">+C189-D189</f>
        <v>-0.36295616471441861</v>
      </c>
      <c r="F189" s="78">
        <f>+SUM(E151:M151)+C189</f>
        <v>52.219780219780219</v>
      </c>
      <c r="G189" s="79">
        <v>52.582736384494638</v>
      </c>
      <c r="H189" s="117">
        <f t="shared" ref="H189:H196" si="45">+F189-G189</f>
        <v>-0.36295616471441861</v>
      </c>
      <c r="I189" s="120" t="b">
        <f t="shared" ref="I189:I196" si="46">+H189&lt;0.001</f>
        <v>1</v>
      </c>
    </row>
    <row r="190" spans="2:14" x14ac:dyDescent="0.3">
      <c r="B190" s="18"/>
      <c r="C190" s="5">
        <v>11.624175824175829</v>
      </c>
      <c r="D190" s="79">
        <f t="shared" si="43"/>
        <v>11.934338364931783</v>
      </c>
      <c r="E190" s="117">
        <f t="shared" si="44"/>
        <v>-0.31016254075595384</v>
      </c>
      <c r="F190" s="78">
        <f t="shared" ref="F190:F196" si="47">+SUM(E152:M152)+C190</f>
        <v>44.624175824175829</v>
      </c>
      <c r="G190" s="79">
        <v>44.934338364931783</v>
      </c>
      <c r="H190" s="117">
        <f t="shared" si="45"/>
        <v>-0.31016254075595384</v>
      </c>
      <c r="I190" s="120" t="b">
        <f t="shared" si="46"/>
        <v>1</v>
      </c>
    </row>
    <row r="191" spans="2:14" x14ac:dyDescent="0.3">
      <c r="B191" s="18"/>
      <c r="C191" s="5">
        <v>5.8549450549450626</v>
      </c>
      <c r="D191" s="79">
        <f t="shared" si="43"/>
        <v>6.3960797005192944</v>
      </c>
      <c r="E191" s="117">
        <f t="shared" si="44"/>
        <v>-0.54113464557423185</v>
      </c>
      <c r="F191" s="78">
        <f t="shared" si="47"/>
        <v>77.854945054945048</v>
      </c>
      <c r="G191" s="79">
        <v>78.39607970051928</v>
      </c>
      <c r="H191" s="117">
        <f t="shared" si="45"/>
        <v>-0.54113464557423185</v>
      </c>
      <c r="I191" s="120" t="b">
        <f t="shared" si="46"/>
        <v>1</v>
      </c>
    </row>
    <row r="192" spans="2:14" x14ac:dyDescent="0.3">
      <c r="B192" s="18"/>
      <c r="C192" s="5">
        <v>2.4725274725274602</v>
      </c>
      <c r="D192" s="79">
        <f t="shared" si="43"/>
        <v>2.8024876222678472</v>
      </c>
      <c r="E192" s="117">
        <f t="shared" si="44"/>
        <v>-0.32996014974038701</v>
      </c>
      <c r="F192" s="78">
        <f t="shared" si="47"/>
        <v>47.47252747252746</v>
      </c>
      <c r="G192" s="79">
        <v>47.802487622267847</v>
      </c>
      <c r="H192" s="117">
        <f t="shared" si="45"/>
        <v>-0.32996014974038701</v>
      </c>
      <c r="I192" s="120" t="b">
        <f t="shared" si="46"/>
        <v>1</v>
      </c>
    </row>
    <row r="193" spans="2:13" x14ac:dyDescent="0.3">
      <c r="B193" s="18"/>
      <c r="C193" s="5">
        <v>17.219780219780212</v>
      </c>
      <c r="D193" s="79">
        <f t="shared" si="43"/>
        <v>17.582736384494623</v>
      </c>
      <c r="E193" s="117">
        <f t="shared" si="44"/>
        <v>-0.3629561647144115</v>
      </c>
      <c r="F193" s="78">
        <f t="shared" si="47"/>
        <v>52.219780219780212</v>
      </c>
      <c r="G193" s="79">
        <v>52.582736384494623</v>
      </c>
      <c r="H193" s="117">
        <f t="shared" si="45"/>
        <v>-0.3629561647144115</v>
      </c>
      <c r="I193" s="120" t="b">
        <f t="shared" si="46"/>
        <v>1</v>
      </c>
    </row>
    <row r="194" spans="2:13" x14ac:dyDescent="0.3">
      <c r="B194" s="18"/>
      <c r="C194" s="5">
        <v>11.006593406593396</v>
      </c>
      <c r="D194" s="79">
        <f t="shared" si="43"/>
        <v>11.527930443183195</v>
      </c>
      <c r="E194" s="117">
        <f t="shared" si="44"/>
        <v>-0.52133703658979869</v>
      </c>
      <c r="F194" s="78">
        <f t="shared" si="47"/>
        <v>75.006593406593396</v>
      </c>
      <c r="G194" s="79">
        <v>75.527930443183195</v>
      </c>
      <c r="H194" s="117">
        <f t="shared" si="45"/>
        <v>-0.52133703658979869</v>
      </c>
      <c r="I194" s="120" t="b">
        <f t="shared" si="46"/>
        <v>1</v>
      </c>
    </row>
    <row r="195" spans="2:13" x14ac:dyDescent="0.3">
      <c r="B195" s="18"/>
      <c r="C195" s="5">
        <v>24.714285714285687</v>
      </c>
      <c r="D195" s="79">
        <f t="shared" si="43"/>
        <v>25.14323390894819</v>
      </c>
      <c r="E195" s="117">
        <f t="shared" si="44"/>
        <v>-0.42894819466250311</v>
      </c>
      <c r="F195" s="78">
        <f t="shared" si="47"/>
        <v>61.714285714285694</v>
      </c>
      <c r="G195" s="79">
        <v>62.143233908948197</v>
      </c>
      <c r="H195" s="117">
        <f t="shared" si="45"/>
        <v>-0.42894819466250311</v>
      </c>
      <c r="I195" s="120" t="b">
        <f t="shared" si="46"/>
        <v>1</v>
      </c>
    </row>
    <row r="196" spans="2:13" x14ac:dyDescent="0.3">
      <c r="B196" s="18"/>
      <c r="C196" s="9">
        <v>20.967032967032985</v>
      </c>
      <c r="D196" s="79">
        <f t="shared" si="43"/>
        <v>21.362985146721421</v>
      </c>
      <c r="E196" s="118">
        <f t="shared" si="44"/>
        <v>-0.39595217968843599</v>
      </c>
      <c r="F196" s="80">
        <f t="shared" si="47"/>
        <v>56.967032967032978</v>
      </c>
      <c r="G196" s="81">
        <v>57.362985146721414</v>
      </c>
      <c r="H196" s="118">
        <f t="shared" si="45"/>
        <v>-0.39595217968843599</v>
      </c>
      <c r="I196" s="120" t="b">
        <f t="shared" si="46"/>
        <v>1</v>
      </c>
    </row>
    <row r="198" spans="2:13" ht="15" thickBot="1" x14ac:dyDescent="0.35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13" ht="15" thickBot="1" x14ac:dyDescent="0.35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13" x14ac:dyDescent="0.3">
      <c r="C200" s="20" t="s">
        <v>1</v>
      </c>
      <c r="D200" s="28" t="s">
        <v>51</v>
      </c>
      <c r="E200" s="1">
        <f t="shared" ref="E200:M208" si="48">+E150/E$184</f>
        <v>0.11867501304121021</v>
      </c>
      <c r="F200" s="2">
        <f t="shared" si="48"/>
        <v>7.6647393183556664E-2</v>
      </c>
      <c r="G200" s="2">
        <f t="shared" si="48"/>
        <v>0.17473017075760686</v>
      </c>
      <c r="H200" s="2">
        <f t="shared" si="48"/>
        <v>1.220990634819271E-2</v>
      </c>
      <c r="I200" s="2">
        <f t="shared" si="48"/>
        <v>4.8643383240824572E-3</v>
      </c>
      <c r="J200" s="2">
        <f t="shared" si="48"/>
        <v>0.1193192347818163</v>
      </c>
      <c r="K200" s="2">
        <f t="shared" si="48"/>
        <v>3.3248743563785065E-2</v>
      </c>
      <c r="L200" s="2">
        <f t="shared" si="48"/>
        <v>9.0236411349280718E-2</v>
      </c>
      <c r="M200" s="3">
        <f t="shared" si="48"/>
        <v>3.0333532565841887E-2</v>
      </c>
    </row>
    <row r="201" spans="2:13" x14ac:dyDescent="0.3">
      <c r="C201" s="20" t="s">
        <v>1</v>
      </c>
      <c r="D201" s="25" t="s">
        <v>52</v>
      </c>
      <c r="E201" s="5">
        <f t="shared" si="48"/>
        <v>0.11001871797232192</v>
      </c>
      <c r="F201" s="6">
        <f t="shared" si="48"/>
        <v>7.0894581134601037E-2</v>
      </c>
      <c r="G201" s="6">
        <f t="shared" si="48"/>
        <v>0.17915010303792461</v>
      </c>
      <c r="H201" s="6">
        <f t="shared" si="48"/>
        <v>6.1562836684378966E-2</v>
      </c>
      <c r="I201" s="6">
        <f t="shared" si="48"/>
        <v>4.0170066953654264E-2</v>
      </c>
      <c r="J201" s="6">
        <f t="shared" si="48"/>
        <v>0.17036504636000271</v>
      </c>
      <c r="K201" s="6">
        <f t="shared" si="48"/>
        <v>2.7776972518137422E-2</v>
      </c>
      <c r="L201" s="6">
        <f t="shared" si="48"/>
        <v>7.8388299072479198E-2</v>
      </c>
      <c r="M201" s="7">
        <f t="shared" si="48"/>
        <v>0.11342839523938759</v>
      </c>
    </row>
    <row r="202" spans="2:13" x14ac:dyDescent="0.3">
      <c r="C202" s="20" t="s">
        <v>1</v>
      </c>
      <c r="D202" s="25" t="s">
        <v>53</v>
      </c>
      <c r="E202" s="5">
        <f t="shared" si="48"/>
        <v>1.5062597809076671E-2</v>
      </c>
      <c r="F202" s="6">
        <f t="shared" si="48"/>
        <v>1.0544667199647704E-2</v>
      </c>
      <c r="G202" s="6">
        <f t="shared" si="48"/>
        <v>1.4102290479772007E-2</v>
      </c>
      <c r="H202" s="6">
        <f t="shared" si="48"/>
        <v>8.6008083057121723E-2</v>
      </c>
      <c r="I202" s="6">
        <f t="shared" si="48"/>
        <v>8.5099484050115665E-2</v>
      </c>
      <c r="J202" s="6">
        <f t="shared" si="48"/>
        <v>6.6818500118639254E-2</v>
      </c>
      <c r="K202" s="6">
        <f t="shared" si="48"/>
        <v>8.1932988793713399E-2</v>
      </c>
      <c r="L202" s="6">
        <f t="shared" si="48"/>
        <v>6.1637251273843105E-2</v>
      </c>
      <c r="M202" s="7">
        <f t="shared" si="48"/>
        <v>0.11340183234963334</v>
      </c>
    </row>
    <row r="203" spans="2:13" x14ac:dyDescent="0.3">
      <c r="C203" s="20" t="s">
        <v>10</v>
      </c>
      <c r="D203" s="25" t="str">
        <f>+D200</f>
        <v>Agr</v>
      </c>
      <c r="E203" s="5">
        <f t="shared" si="48"/>
        <v>0.13262910798122063</v>
      </c>
      <c r="F203" s="6">
        <f t="shared" si="48"/>
        <v>0.10944988586655027</v>
      </c>
      <c r="G203" s="6">
        <f t="shared" si="48"/>
        <v>0.11553194004806051</v>
      </c>
      <c r="H203" s="6">
        <f t="shared" si="48"/>
        <v>8.9043859806726175E-2</v>
      </c>
      <c r="I203" s="6">
        <f t="shared" si="48"/>
        <v>0.1998426686310352</v>
      </c>
      <c r="J203" s="6">
        <f t="shared" si="48"/>
        <v>0.16164640704923902</v>
      </c>
      <c r="K203" s="6">
        <f t="shared" si="48"/>
        <v>0.12648270166521217</v>
      </c>
      <c r="L203" s="6">
        <f t="shared" si="48"/>
        <v>0.14937683066485621</v>
      </c>
      <c r="M203" s="7">
        <f t="shared" si="48"/>
        <v>0.1515881298180837</v>
      </c>
    </row>
    <row r="204" spans="2:13" x14ac:dyDescent="0.3">
      <c r="C204" s="20" t="s">
        <v>10</v>
      </c>
      <c r="D204" s="25" t="str">
        <f t="shared" ref="D204:D208" si="49">+D201</f>
        <v>Ind</v>
      </c>
      <c r="E204" s="5">
        <f t="shared" si="48"/>
        <v>5.9337506520605106E-2</v>
      </c>
      <c r="F204" s="6">
        <f t="shared" si="48"/>
        <v>4.0919292140201791E-2</v>
      </c>
      <c r="G204" s="6">
        <f t="shared" si="48"/>
        <v>6.8581332603725495E-2</v>
      </c>
      <c r="H204" s="6">
        <f t="shared" si="48"/>
        <v>7.7377633560436934E-2</v>
      </c>
      <c r="I204" s="6">
        <f t="shared" si="48"/>
        <v>0.14269409507179942</v>
      </c>
      <c r="J204" s="6">
        <f t="shared" si="48"/>
        <v>7.740166881301308E-2</v>
      </c>
      <c r="K204" s="6">
        <f t="shared" si="48"/>
        <v>0.11777116925399465</v>
      </c>
      <c r="L204" s="6">
        <f t="shared" si="48"/>
        <v>3.5562594698272609E-2</v>
      </c>
      <c r="M204" s="7">
        <f t="shared" si="48"/>
        <v>0.13783588697874927</v>
      </c>
    </row>
    <row r="205" spans="2:13" x14ac:dyDescent="0.3">
      <c r="C205" s="20" t="s">
        <v>10</v>
      </c>
      <c r="D205" s="25" t="str">
        <f t="shared" si="49"/>
        <v>Serv</v>
      </c>
      <c r="E205" s="5">
        <f t="shared" si="48"/>
        <v>8.7180490349504425E-2</v>
      </c>
      <c r="F205" s="6">
        <f t="shared" si="48"/>
        <v>8.3409005373411088E-2</v>
      </c>
      <c r="G205" s="6">
        <f t="shared" si="48"/>
        <v>8.257211873240515E-2</v>
      </c>
      <c r="H205" s="6">
        <f t="shared" si="48"/>
        <v>2.8977780752749423E-2</v>
      </c>
      <c r="I205" s="6">
        <f t="shared" si="48"/>
        <v>0.16585280845266381</v>
      </c>
      <c r="J205" s="6">
        <f t="shared" si="48"/>
        <v>3.8476168064345145E-2</v>
      </c>
      <c r="K205" s="6">
        <f t="shared" si="48"/>
        <v>2.2292056140244793E-2</v>
      </c>
      <c r="L205" s="6">
        <f t="shared" si="48"/>
        <v>8.6855229497032352E-2</v>
      </c>
      <c r="M205" s="7">
        <f t="shared" si="48"/>
        <v>3.5209355695571036E-2</v>
      </c>
    </row>
    <row r="206" spans="2:13" x14ac:dyDescent="0.3">
      <c r="C206" s="20" t="s">
        <v>11</v>
      </c>
      <c r="D206" s="25" t="str">
        <f t="shared" si="49"/>
        <v>Agr</v>
      </c>
      <c r="E206" s="5">
        <f t="shared" si="48"/>
        <v>5.8555033907146573E-2</v>
      </c>
      <c r="F206" s="6">
        <f t="shared" si="48"/>
        <v>0.1775390845862567</v>
      </c>
      <c r="G206" s="6">
        <f t="shared" si="48"/>
        <v>0.17782299557731138</v>
      </c>
      <c r="H206" s="6">
        <f t="shared" si="48"/>
        <v>0.10606330701581278</v>
      </c>
      <c r="I206" s="6">
        <f t="shared" si="48"/>
        <v>0.19529299304488235</v>
      </c>
      <c r="J206" s="6">
        <f t="shared" si="48"/>
        <v>2.8125267259853821E-2</v>
      </c>
      <c r="K206" s="6">
        <f t="shared" si="48"/>
        <v>9.3433111733028151E-2</v>
      </c>
      <c r="L206" s="6">
        <f t="shared" si="48"/>
        <v>0.14500214260124775</v>
      </c>
      <c r="M206" s="7">
        <f t="shared" si="48"/>
        <v>0.13474500428274111</v>
      </c>
    </row>
    <row r="207" spans="2:13" x14ac:dyDescent="0.3">
      <c r="C207" s="20" t="s">
        <v>11</v>
      </c>
      <c r="D207" s="25" t="str">
        <f t="shared" si="49"/>
        <v>Ind</v>
      </c>
      <c r="E207" s="5">
        <f t="shared" si="48"/>
        <v>2.3490671699039536E-2</v>
      </c>
      <c r="F207" s="6">
        <f t="shared" si="48"/>
        <v>0.13680414799787452</v>
      </c>
      <c r="G207" s="6">
        <f t="shared" si="48"/>
        <v>2.0824855749458079E-2</v>
      </c>
      <c r="H207" s="6">
        <f t="shared" si="48"/>
        <v>0.10477982265382181</v>
      </c>
      <c r="I207" s="6">
        <f t="shared" si="48"/>
        <v>6.4680234052776168E-3</v>
      </c>
      <c r="J207" s="6">
        <f t="shared" si="48"/>
        <v>1.9975769274482951E-2</v>
      </c>
      <c r="K207" s="6">
        <f t="shared" si="48"/>
        <v>9.4112852443983513E-2</v>
      </c>
      <c r="L207" s="6">
        <f t="shared" si="48"/>
        <v>0.14496491536529094</v>
      </c>
      <c r="M207" s="7">
        <f t="shared" si="48"/>
        <v>2.9227844345909505E-2</v>
      </c>
    </row>
    <row r="208" spans="2:13" x14ac:dyDescent="0.3">
      <c r="C208" s="20" t="s">
        <v>11</v>
      </c>
      <c r="D208" s="25" t="str">
        <f t="shared" si="49"/>
        <v>Serv</v>
      </c>
      <c r="E208" s="9">
        <f t="shared" si="48"/>
        <v>0.13510693792383929</v>
      </c>
      <c r="F208" s="10">
        <f t="shared" si="48"/>
        <v>4.03933802824629E-2</v>
      </c>
      <c r="G208" s="10">
        <f t="shared" si="48"/>
        <v>8.2999460868155808E-2</v>
      </c>
      <c r="H208" s="10">
        <f t="shared" si="48"/>
        <v>0.11672769425104602</v>
      </c>
      <c r="I208" s="10">
        <f t="shared" si="48"/>
        <v>2.3499544044929151E-2</v>
      </c>
      <c r="J208" s="10">
        <f t="shared" si="48"/>
        <v>9.8599485503199254E-3</v>
      </c>
      <c r="K208" s="10">
        <f t="shared" si="48"/>
        <v>4.2755003850111682E-2</v>
      </c>
      <c r="L208" s="10">
        <f t="shared" si="48"/>
        <v>1.3905055647887075E-2</v>
      </c>
      <c r="M208" s="11">
        <f t="shared" si="48"/>
        <v>0.11528480863528472</v>
      </c>
    </row>
    <row r="211" spans="3:13" ht="15" thickBot="1" x14ac:dyDescent="0.35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" thickBot="1" x14ac:dyDescent="0.35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3">
      <c r="C213" s="20" t="s">
        <v>1</v>
      </c>
      <c r="D213" s="28" t="s">
        <v>51</v>
      </c>
      <c r="E213" s="1" cm="1">
        <f t="array" ref="E213:M221">+MINVERSE(_xlfn.MUNIT(COUNTA($D$213:$D$221))-E200:M208)</f>
        <v>1.3075850699591689</v>
      </c>
      <c r="F213" s="2">
        <v>0.26505463954747577</v>
      </c>
      <c r="G213" s="2">
        <v>0.40599485229465271</v>
      </c>
      <c r="H213" s="2">
        <v>0.19175413528042656</v>
      </c>
      <c r="I213" s="2">
        <v>0.21755449308420763</v>
      </c>
      <c r="J213" s="2">
        <v>0.30183842859630483</v>
      </c>
      <c r="K213" s="2">
        <v>0.19839098579887626</v>
      </c>
      <c r="L213" s="2">
        <v>0.30247998015235322</v>
      </c>
      <c r="M213" s="3">
        <v>0.2498250227024616</v>
      </c>
    </row>
    <row r="214" spans="3:13" x14ac:dyDescent="0.3">
      <c r="C214" s="20" t="s">
        <v>1</v>
      </c>
      <c r="D214" s="25" t="s">
        <v>52</v>
      </c>
      <c r="E214" s="5">
        <v>0.37083129358768824</v>
      </c>
      <c r="F214" s="6">
        <v>1.3172608985385246</v>
      </c>
      <c r="G214" s="6">
        <v>0.48549028327953625</v>
      </c>
      <c r="H214" s="6">
        <v>0.30378841654894934</v>
      </c>
      <c r="I214" s="6">
        <v>0.33300617383568132</v>
      </c>
      <c r="J214" s="6">
        <v>0.40989874913335234</v>
      </c>
      <c r="K214" s="6">
        <v>0.24967162677110039</v>
      </c>
      <c r="L214" s="6">
        <v>0.35252830033303217</v>
      </c>
      <c r="M214" s="7">
        <v>0.41374641361272591</v>
      </c>
    </row>
    <row r="215" spans="3:13" x14ac:dyDescent="0.3">
      <c r="C215" s="20" t="s">
        <v>1</v>
      </c>
      <c r="D215" s="25" t="s">
        <v>53</v>
      </c>
      <c r="E215" s="5">
        <v>0.2074742506822719</v>
      </c>
      <c r="F215" s="6">
        <v>0.19978002173610504</v>
      </c>
      <c r="G215" s="6">
        <v>1.240510944690963</v>
      </c>
      <c r="H215" s="6">
        <v>0.27092289722583862</v>
      </c>
      <c r="I215" s="6">
        <v>0.31123728778161275</v>
      </c>
      <c r="J215" s="6">
        <v>0.23432538646469508</v>
      </c>
      <c r="K215" s="6">
        <v>0.25324770499865418</v>
      </c>
      <c r="L215" s="6">
        <v>0.26224416171485226</v>
      </c>
      <c r="M215" s="7">
        <v>0.34320408963184657</v>
      </c>
    </row>
    <row r="216" spans="3:13" x14ac:dyDescent="0.3">
      <c r="C216" s="20" t="s">
        <v>10</v>
      </c>
      <c r="D216" s="25" t="str">
        <f>+D213</f>
        <v>Agr</v>
      </c>
      <c r="E216" s="5">
        <v>0.53714444236989467</v>
      </c>
      <c r="F216" s="6">
        <v>0.50702379669504871</v>
      </c>
      <c r="G216" s="6">
        <v>0.60361354768875697</v>
      </c>
      <c r="H216" s="6">
        <v>1.4734462215990785</v>
      </c>
      <c r="I216" s="6">
        <v>0.66524536046192229</v>
      </c>
      <c r="J216" s="6">
        <v>0.53235993456841957</v>
      </c>
      <c r="K216" s="6">
        <v>0.4846663390785429</v>
      </c>
      <c r="L216" s="6">
        <v>0.57829959159716304</v>
      </c>
      <c r="M216" s="7">
        <v>0.63100507592216359</v>
      </c>
    </row>
    <row r="217" spans="3:13" x14ac:dyDescent="0.3">
      <c r="C217" s="20" t="s">
        <v>10</v>
      </c>
      <c r="D217" s="25" t="str">
        <f t="shared" ref="D217:D221" si="50">+D214</f>
        <v>Ind</v>
      </c>
      <c r="E217" s="5">
        <v>0.32247029305649511</v>
      </c>
      <c r="F217" s="6">
        <v>0.29326232492796661</v>
      </c>
      <c r="G217" s="6">
        <v>0.38407034338825108</v>
      </c>
      <c r="H217" s="6">
        <v>0.32797259568663878</v>
      </c>
      <c r="I217" s="6">
        <v>1.4516270142183123</v>
      </c>
      <c r="J217" s="6">
        <v>0.3119277373964548</v>
      </c>
      <c r="K217" s="6">
        <v>0.35069080641649408</v>
      </c>
      <c r="L217" s="6">
        <v>0.30485431129549817</v>
      </c>
      <c r="M217" s="7">
        <v>0.45613561898144406</v>
      </c>
    </row>
    <row r="218" spans="3:13" x14ac:dyDescent="0.3">
      <c r="C218" s="20" t="s">
        <v>10</v>
      </c>
      <c r="D218" s="25" t="str">
        <f t="shared" si="50"/>
        <v>Serv</v>
      </c>
      <c r="E218" s="5">
        <v>0.28395488029259369</v>
      </c>
      <c r="F218" s="6">
        <v>0.27471938096654402</v>
      </c>
      <c r="G218" s="6">
        <v>0.32192316906701296</v>
      </c>
      <c r="H218" s="6">
        <v>0.2179651515670501</v>
      </c>
      <c r="I218" s="6">
        <v>0.39108476709587248</v>
      </c>
      <c r="J218" s="6">
        <v>1.2293353693876374</v>
      </c>
      <c r="K218" s="6">
        <v>0.20307766664984303</v>
      </c>
      <c r="L218" s="6">
        <v>0.29647924631826084</v>
      </c>
      <c r="M218" s="7">
        <v>0.27414552707104473</v>
      </c>
    </row>
    <row r="219" spans="3:13" x14ac:dyDescent="0.3">
      <c r="C219" s="20" t="s">
        <v>11</v>
      </c>
      <c r="D219" s="25" t="str">
        <f t="shared" si="50"/>
        <v>Agr</v>
      </c>
      <c r="E219" s="5">
        <v>0.42729764229377726</v>
      </c>
      <c r="F219" s="6">
        <v>0.53696365186356176</v>
      </c>
      <c r="G219" s="6">
        <v>0.62208055426394782</v>
      </c>
      <c r="H219" s="6">
        <v>0.46933394587054389</v>
      </c>
      <c r="I219" s="6">
        <v>0.61811533035094579</v>
      </c>
      <c r="J219" s="6">
        <v>0.37911182240508262</v>
      </c>
      <c r="K219" s="6">
        <v>1.4301653296379566</v>
      </c>
      <c r="L219" s="6">
        <v>0.53752132604763259</v>
      </c>
      <c r="M219" s="7">
        <v>0.59061253627486698</v>
      </c>
    </row>
    <row r="220" spans="3:13" x14ac:dyDescent="0.3">
      <c r="C220" s="20" t="s">
        <v>11</v>
      </c>
      <c r="D220" s="25" t="str">
        <f t="shared" si="50"/>
        <v>Ind</v>
      </c>
      <c r="E220" s="5">
        <v>0.23396388418891498</v>
      </c>
      <c r="F220" s="6">
        <v>0.36059831905888179</v>
      </c>
      <c r="G220" s="6">
        <v>0.28314128575522529</v>
      </c>
      <c r="H220" s="6">
        <v>0.31057952490255142</v>
      </c>
      <c r="I220" s="6">
        <v>0.24478637254762423</v>
      </c>
      <c r="J220" s="6">
        <v>0.22449519930286199</v>
      </c>
      <c r="K220" s="6">
        <v>0.28310653656596901</v>
      </c>
      <c r="L220" s="6">
        <v>1.3875097832886509</v>
      </c>
      <c r="M220" s="7">
        <v>0.27978918152700477</v>
      </c>
    </row>
    <row r="221" spans="3:13" x14ac:dyDescent="0.3">
      <c r="C221" s="20" t="s">
        <v>11</v>
      </c>
      <c r="D221" s="25" t="str">
        <f t="shared" si="50"/>
        <v>Serv</v>
      </c>
      <c r="E221" s="9">
        <v>0.34300632455016716</v>
      </c>
      <c r="F221" s="10">
        <v>0.22872554750616381</v>
      </c>
      <c r="G221" s="10">
        <v>0.32848678387342523</v>
      </c>
      <c r="H221" s="10">
        <v>0.30167688316703001</v>
      </c>
      <c r="I221" s="10">
        <v>0.24203200388680285</v>
      </c>
      <c r="J221" s="10">
        <v>0.2008664266214204</v>
      </c>
      <c r="K221" s="10">
        <v>0.21454275269698328</v>
      </c>
      <c r="L221" s="10">
        <v>0.22237550797480354</v>
      </c>
      <c r="M221" s="11">
        <v>1.3509109021383825</v>
      </c>
    </row>
    <row r="223" spans="3:13" x14ac:dyDescent="0.3">
      <c r="E223" s="16"/>
      <c r="F223" s="16"/>
      <c r="G223" s="18"/>
      <c r="I223" s="16"/>
      <c r="L223" s="16"/>
    </row>
    <row r="224" spans="3:13" x14ac:dyDescent="0.3">
      <c r="E224" s="16"/>
      <c r="F224" s="16"/>
      <c r="G224" s="18"/>
      <c r="I224" s="16"/>
      <c r="L224" s="16"/>
    </row>
    <row r="225" spans="5:12" x14ac:dyDescent="0.3">
      <c r="E225" s="16"/>
      <c r="F225" s="16"/>
      <c r="G225" s="18"/>
      <c r="I225" s="16"/>
      <c r="L225" s="16"/>
    </row>
    <row r="226" spans="5:12" x14ac:dyDescent="0.3">
      <c r="E226" s="16"/>
      <c r="F226" s="16"/>
      <c r="G226" s="18"/>
      <c r="I226" s="16"/>
      <c r="L226" s="16"/>
    </row>
    <row r="227" spans="5:12" x14ac:dyDescent="0.3">
      <c r="E227" s="16"/>
      <c r="F227" s="16"/>
      <c r="G227" s="18"/>
      <c r="I227" s="16"/>
      <c r="L227" s="16"/>
    </row>
    <row r="228" spans="5:12" x14ac:dyDescent="0.3">
      <c r="E228" s="16"/>
      <c r="F228" s="16"/>
      <c r="G228" s="18"/>
      <c r="I228" s="16"/>
      <c r="L228" s="16"/>
    </row>
    <row r="229" spans="5:12" x14ac:dyDescent="0.3">
      <c r="E229" s="16"/>
      <c r="F229" s="16"/>
      <c r="G229" s="18"/>
      <c r="I229" s="16"/>
      <c r="L229" s="16"/>
    </row>
    <row r="230" spans="5:12" x14ac:dyDescent="0.3">
      <c r="E230" s="16"/>
      <c r="F230" s="16"/>
      <c r="G230" s="18"/>
      <c r="I230" s="16"/>
      <c r="L230" s="16"/>
    </row>
    <row r="231" spans="5:12" x14ac:dyDescent="0.3">
      <c r="E231" s="16"/>
      <c r="F231" s="16"/>
      <c r="G231" s="18"/>
      <c r="I231" s="16"/>
      <c r="L231" s="16"/>
    </row>
    <row r="234" spans="5:12" x14ac:dyDescent="0.3">
      <c r="E234" s="16"/>
    </row>
    <row r="235" spans="5:12" x14ac:dyDescent="0.3">
      <c r="E235" s="16"/>
      <c r="F235" s="18"/>
    </row>
    <row r="236" spans="5:12" x14ac:dyDescent="0.3">
      <c r="E236" s="16"/>
      <c r="F236" s="18"/>
    </row>
    <row r="237" spans="5:12" x14ac:dyDescent="0.3">
      <c r="E237" s="16"/>
      <c r="F237" s="18"/>
    </row>
    <row r="238" spans="5:12" x14ac:dyDescent="0.3">
      <c r="E238" s="16"/>
      <c r="F238" s="18"/>
    </row>
    <row r="239" spans="5:12" x14ac:dyDescent="0.3">
      <c r="E239" s="16"/>
      <c r="F239" s="18"/>
    </row>
    <row r="240" spans="5:12" x14ac:dyDescent="0.3">
      <c r="E240" s="16"/>
      <c r="F240" s="18"/>
    </row>
    <row r="241" spans="5:6" x14ac:dyDescent="0.3">
      <c r="E241" s="16"/>
      <c r="F241" s="18"/>
    </row>
    <row r="242" spans="5:6" x14ac:dyDescent="0.3">
      <c r="E242" s="16"/>
      <c r="F242" s="18"/>
    </row>
    <row r="243" spans="5:6" x14ac:dyDescent="0.3">
      <c r="F243" s="18"/>
    </row>
  </sheetData>
  <conditionalFormatting sqref="E106:M114">
    <cfRule type="expression" dxfId="11" priority="1">
      <formula>E106&lt;0</formula>
    </cfRule>
  </conditionalFormatting>
  <conditionalFormatting sqref="E131:M133">
    <cfRule type="expression" dxfId="10" priority="3">
      <formula>E131&lt;0</formula>
    </cfRule>
  </conditionalFormatting>
  <conditionalFormatting sqref="E137:M145">
    <cfRule type="expression" dxfId="9" priority="4">
      <formula>E137&lt;0</formula>
    </cfRule>
  </conditionalFormatting>
  <conditionalFormatting sqref="O137:W1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7EA4-027C-413F-9681-CD63E10B3BAB}">
  <dimension ref="A3:Y243"/>
  <sheetViews>
    <sheetView showGridLines="0" topLeftCell="A160" zoomScaleNormal="100" workbookViewId="0">
      <selection activeCell="N184" sqref="N184"/>
    </sheetView>
  </sheetViews>
  <sheetFormatPr defaultRowHeight="14.4" x14ac:dyDescent="0.3"/>
  <cols>
    <col min="1" max="1" width="12.6640625" style="65" customWidth="1"/>
    <col min="2" max="23" width="12.6640625" customWidth="1"/>
  </cols>
  <sheetData>
    <row r="3" spans="3:18" ht="15" thickBot="1" x14ac:dyDescent="0.35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" thickBot="1" x14ac:dyDescent="0.35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3">
      <c r="C5" s="20" t="s">
        <v>1</v>
      </c>
      <c r="D5" s="28" t="s">
        <v>51</v>
      </c>
      <c r="E5" s="82" cm="1">
        <f t="array" ref="E5:M13">+'IO_sub_model (2)'!E150:M158</f>
        <v>7.5956043956043935</v>
      </c>
      <c r="F5" s="83">
        <v>4.0303296703296709</v>
      </c>
      <c r="G5" s="83">
        <v>7.8513846153846147</v>
      </c>
      <c r="H5" s="83">
        <v>0.95720879120879199</v>
      </c>
      <c r="I5" s="83">
        <v>0.23252747252747477</v>
      </c>
      <c r="J5" s="83">
        <v>6.2741318681318683</v>
      </c>
      <c r="K5" s="83">
        <v>2.511208791208793</v>
      </c>
      <c r="L5" s="83">
        <v>5.6075824175824192</v>
      </c>
      <c r="M5" s="84">
        <v>1.7400219780219786</v>
      </c>
      <c r="N5" s="24">
        <f>+O5-SUM(E5:M5)</f>
        <v>27.20340055548845</v>
      </c>
      <c r="O5" s="29" cm="1">
        <f t="array" ref="O5:O13">+TRANSPOSE(_xlfn.ANCHORARRAY(E15))</f>
        <v>64.003400555488454</v>
      </c>
      <c r="P5" s="62" cm="1">
        <f t="array" ref="P5:P13">+MMULT(E21:M29,O5:O13)</f>
        <v>36.800000000000004</v>
      </c>
      <c r="Q5" s="61">
        <f>+P5+N5</f>
        <v>64.003400555488454</v>
      </c>
      <c r="R5" s="61" t="b">
        <f>+Q5=O5</f>
        <v>1</v>
      </c>
    </row>
    <row r="6" spans="3:18" x14ac:dyDescent="0.3">
      <c r="C6" s="20" t="s">
        <v>1</v>
      </c>
      <c r="D6" s="25" t="s">
        <v>52</v>
      </c>
      <c r="E6" s="85">
        <v>7.0415720749838364</v>
      </c>
      <c r="F6" s="86">
        <v>3.7278310708898932</v>
      </c>
      <c r="G6" s="86">
        <v>8.0499913480184979</v>
      </c>
      <c r="H6" s="86">
        <v>4.8262850512986253</v>
      </c>
      <c r="I6" s="86">
        <v>1.9202291283377286</v>
      </c>
      <c r="J6" s="86">
        <v>8.9582603218802284</v>
      </c>
      <c r="K6" s="86">
        <v>2.0979372482720944</v>
      </c>
      <c r="L6" s="86">
        <v>4.8713024049856619</v>
      </c>
      <c r="M6" s="87">
        <v>6.5065913513334364</v>
      </c>
      <c r="N6" s="24">
        <f t="shared" ref="N6:N13" si="0">+O6-SUM(E6:M6)</f>
        <v>4.5827363844946376</v>
      </c>
      <c r="O6" s="30">
        <v>52.582736384494638</v>
      </c>
      <c r="P6" s="62">
        <v>48</v>
      </c>
      <c r="Q6" s="61">
        <f t="shared" ref="Q6:Q13" si="1">+P6+N6</f>
        <v>52.582736384494638</v>
      </c>
      <c r="R6" s="61" t="b">
        <f t="shared" ref="R6:R13" si="2">+Q6=O6</f>
        <v>1</v>
      </c>
    </row>
    <row r="7" spans="3:18" x14ac:dyDescent="0.3">
      <c r="C7" s="20" t="s">
        <v>1</v>
      </c>
      <c r="D7" s="25" t="s">
        <v>53</v>
      </c>
      <c r="E7" s="85">
        <v>0.96405748098055699</v>
      </c>
      <c r="F7" s="86">
        <v>0.55446745562130251</v>
      </c>
      <c r="G7" s="86">
        <v>0.63367709213863155</v>
      </c>
      <c r="H7" s="86">
        <v>6.7426965342349963</v>
      </c>
      <c r="I7" s="86">
        <v>4.0679670329670339</v>
      </c>
      <c r="J7" s="86">
        <v>3.5134995773457307</v>
      </c>
      <c r="K7" s="86">
        <v>6.188229078613694</v>
      </c>
      <c r="L7" s="86">
        <v>3.8303381234150473</v>
      </c>
      <c r="M7" s="87">
        <v>6.5050676246830097</v>
      </c>
      <c r="N7" s="24">
        <f t="shared" si="0"/>
        <v>11.934338364931783</v>
      </c>
      <c r="O7" s="30">
        <v>44.934338364931783</v>
      </c>
      <c r="P7" s="62">
        <v>33</v>
      </c>
      <c r="Q7" s="61">
        <f t="shared" si="1"/>
        <v>44.934338364931783</v>
      </c>
      <c r="R7" s="61" t="b">
        <f t="shared" si="2"/>
        <v>1</v>
      </c>
    </row>
    <row r="8" spans="3:18" x14ac:dyDescent="0.3">
      <c r="C8" s="20" t="s">
        <v>10</v>
      </c>
      <c r="D8" s="25" t="str">
        <f>+D5</f>
        <v>Agr</v>
      </c>
      <c r="E8" s="85">
        <v>8.4887139234391942</v>
      </c>
      <c r="F8" s="86">
        <v>5.7551744958338382</v>
      </c>
      <c r="G8" s="86">
        <v>5.1913512860765643</v>
      </c>
      <c r="H8" s="86">
        <v>6.9806895302499701</v>
      </c>
      <c r="I8" s="86">
        <v>9.552976693636035</v>
      </c>
      <c r="J8" s="86">
        <v>8.4998104093708484</v>
      </c>
      <c r="K8" s="86">
        <v>9.552976693636035</v>
      </c>
      <c r="L8" s="86">
        <v>9.2827593285835057</v>
      </c>
      <c r="M8" s="87">
        <v>8.6955476391740127</v>
      </c>
      <c r="N8" s="24">
        <f t="shared" si="0"/>
        <v>6.3960797005192944</v>
      </c>
      <c r="O8" s="30">
        <v>78.39607970051928</v>
      </c>
      <c r="P8" s="62">
        <v>72</v>
      </c>
      <c r="Q8" s="61">
        <f t="shared" si="1"/>
        <v>78.396079700519294</v>
      </c>
      <c r="R8" s="61" t="b">
        <f t="shared" si="2"/>
        <v>1</v>
      </c>
    </row>
    <row r="9" spans="3:18" x14ac:dyDescent="0.3">
      <c r="C9" s="20" t="s">
        <v>10</v>
      </c>
      <c r="D9" s="25" t="str">
        <f t="shared" ref="D9:D13" si="3">+D6</f>
        <v>Ind</v>
      </c>
      <c r="E9" s="85">
        <v>3.7978021978021967</v>
      </c>
      <c r="F9" s="86">
        <v>2.1516483516483542</v>
      </c>
      <c r="G9" s="86">
        <v>3.0816568047337292</v>
      </c>
      <c r="H9" s="86">
        <v>6.0661031276415898</v>
      </c>
      <c r="I9" s="86">
        <v>6.8211327134404032</v>
      </c>
      <c r="J9" s="86">
        <v>4.0699915469146255</v>
      </c>
      <c r="K9" s="86">
        <v>8.8950126796280635</v>
      </c>
      <c r="L9" s="86">
        <v>2.2099746407438756</v>
      </c>
      <c r="M9" s="87">
        <v>7.9066779374471663</v>
      </c>
      <c r="N9" s="24">
        <f t="shared" si="0"/>
        <v>2.8024876222678472</v>
      </c>
      <c r="O9" s="30">
        <v>47.802487622267847</v>
      </c>
      <c r="P9" s="62">
        <v>45</v>
      </c>
      <c r="Q9" s="61">
        <f t="shared" si="1"/>
        <v>47.802487622267847</v>
      </c>
      <c r="R9" s="61" t="b">
        <f t="shared" si="2"/>
        <v>1</v>
      </c>
    </row>
    <row r="10" spans="3:18" x14ac:dyDescent="0.3">
      <c r="C10" s="20" t="s">
        <v>10</v>
      </c>
      <c r="D10" s="25" t="str">
        <f t="shared" si="3"/>
        <v>Serv</v>
      </c>
      <c r="E10" s="85">
        <v>5.5798478444632273</v>
      </c>
      <c r="F10" s="86">
        <v>4.3858737416429721</v>
      </c>
      <c r="G10" s="86">
        <v>3.710323522631215</v>
      </c>
      <c r="H10" s="86">
        <v>2.2717444094367174</v>
      </c>
      <c r="I10" s="86">
        <v>7.9281768231768224</v>
      </c>
      <c r="J10" s="86">
        <v>2.0231822024129715</v>
      </c>
      <c r="K10" s="86">
        <v>1.6836728655959434</v>
      </c>
      <c r="L10" s="86">
        <v>5.3974648428494589</v>
      </c>
      <c r="M10" s="87">
        <v>2.0197137477906724</v>
      </c>
      <c r="N10" s="24">
        <f t="shared" si="0"/>
        <v>17.582736384494623</v>
      </c>
      <c r="O10" s="30">
        <v>52.582736384494623</v>
      </c>
      <c r="P10" s="62">
        <v>35</v>
      </c>
      <c r="Q10" s="61">
        <f t="shared" si="1"/>
        <v>52.582736384494623</v>
      </c>
      <c r="R10" s="61" t="b">
        <f t="shared" si="2"/>
        <v>1</v>
      </c>
    </row>
    <row r="11" spans="3:18" x14ac:dyDescent="0.3">
      <c r="C11" s="20" t="s">
        <v>11</v>
      </c>
      <c r="D11" s="25" t="str">
        <f t="shared" si="3"/>
        <v>Agr</v>
      </c>
      <c r="E11" s="85">
        <v>3.7477212896993102</v>
      </c>
      <c r="F11" s="86">
        <v>9.3354908827436311</v>
      </c>
      <c r="G11" s="86">
        <v>7.9903586523366776</v>
      </c>
      <c r="H11" s="86">
        <v>8.3149474701123047</v>
      </c>
      <c r="I11" s="86">
        <v>9.3354908827436294</v>
      </c>
      <c r="J11" s="86">
        <v>1.4789035140683509</v>
      </c>
      <c r="K11" s="86">
        <v>7.0568095640623136</v>
      </c>
      <c r="L11" s="86">
        <v>9.0109020649680005</v>
      </c>
      <c r="M11" s="87">
        <v>7.7293756792657913</v>
      </c>
      <c r="N11" s="24">
        <f t="shared" si="0"/>
        <v>11.527930443183195</v>
      </c>
      <c r="O11" s="30">
        <v>75.527930443183195</v>
      </c>
      <c r="P11" s="62">
        <v>64</v>
      </c>
      <c r="Q11" s="61">
        <f t="shared" si="1"/>
        <v>75.527930443183195</v>
      </c>
      <c r="R11" s="61" t="b">
        <f t="shared" si="2"/>
        <v>1</v>
      </c>
    </row>
    <row r="12" spans="3:18" x14ac:dyDescent="0.3">
      <c r="C12" s="20" t="s">
        <v>11</v>
      </c>
      <c r="D12" s="25" t="str">
        <f t="shared" si="3"/>
        <v>Ind</v>
      </c>
      <c r="E12" s="85">
        <v>1.503482870071104</v>
      </c>
      <c r="F12" s="86">
        <v>7.1935364504776258</v>
      </c>
      <c r="G12" s="86">
        <v>0.93575111464704441</v>
      </c>
      <c r="H12" s="86">
        <v>8.2143273277752904</v>
      </c>
      <c r="I12" s="86">
        <v>0.30918760877132201</v>
      </c>
      <c r="J12" s="86">
        <v>1.0503806098376245</v>
      </c>
      <c r="K12" s="86">
        <v>7.1081489731987499</v>
      </c>
      <c r="L12" s="86">
        <v>9.0085886441361538</v>
      </c>
      <c r="M12" s="87">
        <v>1.6765964010850924</v>
      </c>
      <c r="N12" s="24">
        <f t="shared" si="0"/>
        <v>25.14323390894819</v>
      </c>
      <c r="O12" s="30">
        <v>62.143233908948197</v>
      </c>
      <c r="P12" s="62">
        <v>37.000000000000007</v>
      </c>
      <c r="Q12" s="61">
        <f t="shared" si="1"/>
        <v>62.143233908948197</v>
      </c>
      <c r="R12" s="61" t="b">
        <f t="shared" si="2"/>
        <v>1</v>
      </c>
    </row>
    <row r="13" spans="3:18" x14ac:dyDescent="0.3">
      <c r="C13" s="20" t="s">
        <v>11</v>
      </c>
      <c r="D13" s="25" t="str">
        <f t="shared" si="3"/>
        <v>Serv</v>
      </c>
      <c r="E13" s="88">
        <v>8.6473034657650008</v>
      </c>
      <c r="F13" s="89">
        <v>2.1239944670713902</v>
      </c>
      <c r="G13" s="89">
        <v>3.7295258587566278</v>
      </c>
      <c r="H13" s="89">
        <v>9.1509936217628507</v>
      </c>
      <c r="I13" s="89">
        <v>1.1233366633366639</v>
      </c>
      <c r="J13" s="89">
        <v>0.51846307538615255</v>
      </c>
      <c r="K13" s="89">
        <v>3.2291969568892647</v>
      </c>
      <c r="L13" s="89">
        <v>0.86410512564358777</v>
      </c>
      <c r="M13" s="90">
        <v>6.6130807653884576</v>
      </c>
      <c r="N13" s="24">
        <f t="shared" si="0"/>
        <v>21.362985146721421</v>
      </c>
      <c r="O13" s="31">
        <v>57.362985146721414</v>
      </c>
      <c r="P13" s="62">
        <v>35.999999999999993</v>
      </c>
      <c r="Q13" s="61">
        <f t="shared" si="1"/>
        <v>57.362985146721414</v>
      </c>
      <c r="R13" s="61" t="b">
        <f t="shared" si="2"/>
        <v>1</v>
      </c>
    </row>
    <row r="14" spans="3:18" x14ac:dyDescent="0.3">
      <c r="D14" s="22" t="s">
        <v>9</v>
      </c>
      <c r="E14" s="13">
        <f>+E15-SUM(E5:E13)</f>
        <v>16.63729501267963</v>
      </c>
      <c r="F14" s="13">
        <f t="shared" ref="F14:M14" si="4">+F15-SUM(F5:F13)</f>
        <v>13.324389798235963</v>
      </c>
      <c r="G14" s="13">
        <f t="shared" si="4"/>
        <v>3.7603180702081787</v>
      </c>
      <c r="H14" s="13">
        <f t="shared" si="4"/>
        <v>24.871083836798149</v>
      </c>
      <c r="I14" s="13">
        <f t="shared" si="4"/>
        <v>6.5114626033307275</v>
      </c>
      <c r="J14" s="13">
        <f t="shared" si="4"/>
        <v>16.19611325914623</v>
      </c>
      <c r="K14" s="13">
        <f t="shared" si="4"/>
        <v>27.204737592078232</v>
      </c>
      <c r="L14" s="13">
        <f t="shared" si="4"/>
        <v>12.060216316040488</v>
      </c>
      <c r="M14" s="13">
        <f t="shared" si="4"/>
        <v>7.9703120225317932</v>
      </c>
      <c r="N14" s="19">
        <f>+SUM(E5:M13)</f>
        <v>406.79999999999961</v>
      </c>
      <c r="R14" s="18"/>
    </row>
    <row r="15" spans="3:18" x14ac:dyDescent="0.3">
      <c r="D15" s="20" t="s">
        <v>8</v>
      </c>
      <c r="E15" s="130" cm="1">
        <f t="array" ref="E15:M15">+'IO_sub_model (2)'!E184:M184</f>
        <v>64.003400555488454</v>
      </c>
      <c r="F15" s="131">
        <v>52.582736384494638</v>
      </c>
      <c r="G15" s="131">
        <v>44.934338364931783</v>
      </c>
      <c r="H15" s="131">
        <v>78.39607970051928</v>
      </c>
      <c r="I15" s="131">
        <v>47.802487622267847</v>
      </c>
      <c r="J15" s="131">
        <v>52.582736384494623</v>
      </c>
      <c r="K15" s="131">
        <v>75.527930443183195</v>
      </c>
      <c r="L15" s="131">
        <v>62.143233908948197</v>
      </c>
      <c r="M15" s="132">
        <v>57.362985146721414</v>
      </c>
      <c r="R15" s="18"/>
    </row>
    <row r="16" spans="3:18" x14ac:dyDescent="0.3">
      <c r="E16" s="97" cm="1">
        <f t="array" ref="E16:M16">+TRANSPOSE(O5:O13)</f>
        <v>64.003400555488454</v>
      </c>
      <c r="F16" s="97">
        <v>52.582736384494638</v>
      </c>
      <c r="G16" s="97">
        <v>44.934338364931783</v>
      </c>
      <c r="H16" s="97">
        <v>78.39607970051928</v>
      </c>
      <c r="I16" s="97">
        <v>47.802487622267847</v>
      </c>
      <c r="J16" s="97">
        <v>52.582736384494623</v>
      </c>
      <c r="K16" s="97">
        <v>75.527930443183195</v>
      </c>
      <c r="L16" s="97">
        <v>62.143233908948197</v>
      </c>
      <c r="M16" s="97">
        <v>57.362985146721414</v>
      </c>
      <c r="R16" s="18"/>
    </row>
    <row r="17" spans="3:18" x14ac:dyDescent="0.3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3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" thickBot="1" x14ac:dyDescent="0.35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" thickBot="1" x14ac:dyDescent="0.35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3">
      <c r="C21" s="20" t="s">
        <v>1</v>
      </c>
      <c r="D21" s="28" t="s">
        <v>51</v>
      </c>
      <c r="E21" s="82" cm="1">
        <f t="array" ref="E21:M29">+'IO_sub_model (2)'!E200:M208</f>
        <v>0.11867501304121021</v>
      </c>
      <c r="F21" s="83">
        <v>7.6647393183556664E-2</v>
      </c>
      <c r="G21" s="83">
        <v>0.17473017075760686</v>
      </c>
      <c r="H21" s="83">
        <v>1.220990634819271E-2</v>
      </c>
      <c r="I21" s="83">
        <v>4.8643383240824572E-3</v>
      </c>
      <c r="J21" s="83">
        <v>0.1193192347818163</v>
      </c>
      <c r="K21" s="83">
        <v>3.3248743563785065E-2</v>
      </c>
      <c r="L21" s="83">
        <v>9.0236411349280718E-2</v>
      </c>
      <c r="M21" s="84">
        <v>3.0333532565841887E-2</v>
      </c>
    </row>
    <row r="22" spans="3:18" x14ac:dyDescent="0.3">
      <c r="C22" s="20" t="s">
        <v>1</v>
      </c>
      <c r="D22" s="25" t="s">
        <v>52</v>
      </c>
      <c r="E22" s="85">
        <v>0.11001871797232192</v>
      </c>
      <c r="F22" s="86">
        <v>7.0894581134601037E-2</v>
      </c>
      <c r="G22" s="86">
        <v>0.17915010303792461</v>
      </c>
      <c r="H22" s="86">
        <v>6.1562836684378966E-2</v>
      </c>
      <c r="I22" s="86">
        <v>4.0170066953654264E-2</v>
      </c>
      <c r="J22" s="86">
        <v>0.17036504636000271</v>
      </c>
      <c r="K22" s="86">
        <v>2.7776972518137422E-2</v>
      </c>
      <c r="L22" s="86">
        <v>7.8388299072479198E-2</v>
      </c>
      <c r="M22" s="87">
        <v>0.11342839523938759</v>
      </c>
    </row>
    <row r="23" spans="3:18" x14ac:dyDescent="0.3">
      <c r="C23" s="20" t="s">
        <v>1</v>
      </c>
      <c r="D23" s="25" t="s">
        <v>53</v>
      </c>
      <c r="E23" s="85">
        <v>1.5062597809076671E-2</v>
      </c>
      <c r="F23" s="86">
        <v>1.0544667199647704E-2</v>
      </c>
      <c r="G23" s="86">
        <v>1.4102290479772007E-2</v>
      </c>
      <c r="H23" s="86">
        <v>8.6008083057121723E-2</v>
      </c>
      <c r="I23" s="86">
        <v>8.5099484050115665E-2</v>
      </c>
      <c r="J23" s="86">
        <v>6.6818500118639254E-2</v>
      </c>
      <c r="K23" s="86">
        <v>8.1932988793713399E-2</v>
      </c>
      <c r="L23" s="86">
        <v>6.1637251273843105E-2</v>
      </c>
      <c r="M23" s="87">
        <v>0.11340183234963334</v>
      </c>
    </row>
    <row r="24" spans="3:18" x14ac:dyDescent="0.3">
      <c r="C24" s="20" t="s">
        <v>10</v>
      </c>
      <c r="D24" s="25" t="str">
        <f>+D21</f>
        <v>Agr</v>
      </c>
      <c r="E24" s="85">
        <v>0.13262910798122063</v>
      </c>
      <c r="F24" s="86">
        <v>0.10944988586655027</v>
      </c>
      <c r="G24" s="86">
        <v>0.11553194004806051</v>
      </c>
      <c r="H24" s="86">
        <v>8.9043859806726175E-2</v>
      </c>
      <c r="I24" s="86">
        <v>0.1998426686310352</v>
      </c>
      <c r="J24" s="86">
        <v>0.16164640704923902</v>
      </c>
      <c r="K24" s="86">
        <v>0.12648270166521217</v>
      </c>
      <c r="L24" s="86">
        <v>0.14937683066485621</v>
      </c>
      <c r="M24" s="87">
        <v>0.1515881298180837</v>
      </c>
    </row>
    <row r="25" spans="3:18" x14ac:dyDescent="0.3">
      <c r="C25" s="20" t="s">
        <v>10</v>
      </c>
      <c r="D25" s="25" t="str">
        <f t="shared" ref="D25:D29" si="6">+D22</f>
        <v>Ind</v>
      </c>
      <c r="E25" s="85">
        <v>5.9337506520605106E-2</v>
      </c>
      <c r="F25" s="86">
        <v>4.0919292140201791E-2</v>
      </c>
      <c r="G25" s="86">
        <v>6.8581332603725495E-2</v>
      </c>
      <c r="H25" s="86">
        <v>7.7377633560436934E-2</v>
      </c>
      <c r="I25" s="86">
        <v>0.14269409507179942</v>
      </c>
      <c r="J25" s="86">
        <v>7.740166881301308E-2</v>
      </c>
      <c r="K25" s="86">
        <v>0.11777116925399465</v>
      </c>
      <c r="L25" s="86">
        <v>3.5562594698272609E-2</v>
      </c>
      <c r="M25" s="87">
        <v>0.13783588697874927</v>
      </c>
    </row>
    <row r="26" spans="3:18" x14ac:dyDescent="0.3">
      <c r="C26" s="20" t="s">
        <v>10</v>
      </c>
      <c r="D26" s="25" t="str">
        <f t="shared" si="6"/>
        <v>Serv</v>
      </c>
      <c r="E26" s="85">
        <v>8.7180490349504425E-2</v>
      </c>
      <c r="F26" s="86">
        <v>8.3409005373411088E-2</v>
      </c>
      <c r="G26" s="86">
        <v>8.257211873240515E-2</v>
      </c>
      <c r="H26" s="86">
        <v>2.8977780752749423E-2</v>
      </c>
      <c r="I26" s="86">
        <v>0.16585280845266381</v>
      </c>
      <c r="J26" s="86">
        <v>3.8476168064345145E-2</v>
      </c>
      <c r="K26" s="86">
        <v>2.2292056140244793E-2</v>
      </c>
      <c r="L26" s="86">
        <v>8.6855229497032352E-2</v>
      </c>
      <c r="M26" s="87">
        <v>3.5209355695571036E-2</v>
      </c>
    </row>
    <row r="27" spans="3:18" x14ac:dyDescent="0.3">
      <c r="C27" s="20" t="s">
        <v>11</v>
      </c>
      <c r="D27" s="25" t="str">
        <f t="shared" si="6"/>
        <v>Agr</v>
      </c>
      <c r="E27" s="85">
        <v>5.8555033907146573E-2</v>
      </c>
      <c r="F27" s="86">
        <v>0.1775390845862567</v>
      </c>
      <c r="G27" s="86">
        <v>0.17782299557731138</v>
      </c>
      <c r="H27" s="86">
        <v>0.10606330701581278</v>
      </c>
      <c r="I27" s="86">
        <v>0.19529299304488235</v>
      </c>
      <c r="J27" s="86">
        <v>2.8125267259853821E-2</v>
      </c>
      <c r="K27" s="86">
        <v>9.3433111733028151E-2</v>
      </c>
      <c r="L27" s="86">
        <v>0.14500214260124775</v>
      </c>
      <c r="M27" s="87">
        <v>0.13474500428274111</v>
      </c>
    </row>
    <row r="28" spans="3:18" x14ac:dyDescent="0.3">
      <c r="C28" s="20" t="s">
        <v>11</v>
      </c>
      <c r="D28" s="25" t="str">
        <f t="shared" si="6"/>
        <v>Ind</v>
      </c>
      <c r="E28" s="85">
        <v>2.3490671699039536E-2</v>
      </c>
      <c r="F28" s="86">
        <v>0.13680414799787452</v>
      </c>
      <c r="G28" s="86">
        <v>2.0824855749458079E-2</v>
      </c>
      <c r="H28" s="86">
        <v>0.10477982265382181</v>
      </c>
      <c r="I28" s="86">
        <v>6.4680234052776168E-3</v>
      </c>
      <c r="J28" s="86">
        <v>1.9975769274482951E-2</v>
      </c>
      <c r="K28" s="86">
        <v>9.4112852443983513E-2</v>
      </c>
      <c r="L28" s="86">
        <v>0.14496491536529094</v>
      </c>
      <c r="M28" s="87">
        <v>2.9227844345909505E-2</v>
      </c>
    </row>
    <row r="29" spans="3:18" x14ac:dyDescent="0.3">
      <c r="C29" s="20" t="s">
        <v>11</v>
      </c>
      <c r="D29" s="25" t="str">
        <f t="shared" si="6"/>
        <v>Serv</v>
      </c>
      <c r="E29" s="88">
        <v>0.13510693792383929</v>
      </c>
      <c r="F29" s="89">
        <v>4.03933802824629E-2</v>
      </c>
      <c r="G29" s="89">
        <v>8.2999460868155808E-2</v>
      </c>
      <c r="H29" s="89">
        <v>0.11672769425104602</v>
      </c>
      <c r="I29" s="89">
        <v>2.3499544044929151E-2</v>
      </c>
      <c r="J29" s="89">
        <v>9.8599485503199254E-3</v>
      </c>
      <c r="K29" s="89">
        <v>4.2755003850111682E-2</v>
      </c>
      <c r="L29" s="89">
        <v>1.3905055647887075E-2</v>
      </c>
      <c r="M29" s="90">
        <v>0.11528480863528472</v>
      </c>
    </row>
    <row r="30" spans="3:18" x14ac:dyDescent="0.3">
      <c r="D30" s="22" t="s">
        <v>9</v>
      </c>
      <c r="E30" s="13">
        <f t="shared" ref="E30:M30" si="7">+E14/E$15</f>
        <v>0.25994392279603556</v>
      </c>
      <c r="F30" s="14">
        <f t="shared" si="7"/>
        <v>0.25339856223543739</v>
      </c>
      <c r="G30" s="14">
        <f t="shared" si="7"/>
        <v>8.3684732145580074E-2</v>
      </c>
      <c r="H30" s="14">
        <f t="shared" si="7"/>
        <v>0.31724907586971351</v>
      </c>
      <c r="I30" s="14">
        <f t="shared" si="7"/>
        <v>0.13621597802155994</v>
      </c>
      <c r="J30" s="14">
        <f t="shared" si="7"/>
        <v>0.30801198972828792</v>
      </c>
      <c r="K30" s="14">
        <f t="shared" si="7"/>
        <v>0.36019440003778902</v>
      </c>
      <c r="L30" s="14">
        <f t="shared" si="7"/>
        <v>0.19407126982981007</v>
      </c>
      <c r="M30" s="15">
        <f t="shared" si="7"/>
        <v>0.13894521008879779</v>
      </c>
    </row>
    <row r="31" spans="3:18" x14ac:dyDescent="0.3">
      <c r="D31" s="20" t="s">
        <v>8</v>
      </c>
      <c r="E31" s="13">
        <f t="shared" ref="E31:M31" si="8">SUM(E21:E30)</f>
        <v>0.99999999999999978</v>
      </c>
      <c r="F31" s="14">
        <f t="shared" si="8"/>
        <v>1</v>
      </c>
      <c r="G31" s="14">
        <f t="shared" si="8"/>
        <v>0.99999999999999978</v>
      </c>
      <c r="H31" s="14">
        <f t="shared" si="8"/>
        <v>1</v>
      </c>
      <c r="I31" s="14">
        <f t="shared" si="8"/>
        <v>0.99999999999999989</v>
      </c>
      <c r="J31" s="14">
        <f t="shared" si="8"/>
        <v>1.0000000000000002</v>
      </c>
      <c r="K31" s="14">
        <f t="shared" si="8"/>
        <v>0.99999999999999978</v>
      </c>
      <c r="L31" s="14">
        <f t="shared" si="8"/>
        <v>1.0000000000000002</v>
      </c>
      <c r="M31" s="15">
        <f t="shared" si="8"/>
        <v>1</v>
      </c>
    </row>
    <row r="34" spans="3:18" ht="15" thickBot="1" x14ac:dyDescent="0.35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3:18" ht="15" thickBot="1" x14ac:dyDescent="0.35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3:18" x14ac:dyDescent="0.3">
      <c r="C36" s="20" t="s">
        <v>1</v>
      </c>
      <c r="D36" s="28" t="s">
        <v>51</v>
      </c>
      <c r="E36" s="1" cm="1">
        <f t="array" ref="E36:M44">+MINVERSE(_xlfn.MUNIT(COUNTA($D$36:$D$44))-E21:M29)</f>
        <v>1.3075850699591689</v>
      </c>
      <c r="F36" s="2">
        <v>0.26505463954747577</v>
      </c>
      <c r="G36" s="2">
        <v>0.40599485229465271</v>
      </c>
      <c r="H36" s="2">
        <v>0.19175413528042656</v>
      </c>
      <c r="I36" s="2">
        <v>0.21755449308420763</v>
      </c>
      <c r="J36" s="2">
        <v>0.30183842859630483</v>
      </c>
      <c r="K36" s="2">
        <v>0.19839098579887626</v>
      </c>
      <c r="L36" s="2">
        <v>0.30247998015235322</v>
      </c>
      <c r="M36" s="3">
        <v>0.2498250227024616</v>
      </c>
      <c r="N36" s="16"/>
    </row>
    <row r="37" spans="3:18" x14ac:dyDescent="0.3">
      <c r="C37" s="20" t="s">
        <v>1</v>
      </c>
      <c r="D37" s="25" t="s">
        <v>52</v>
      </c>
      <c r="E37" s="5">
        <v>0.37083129358768824</v>
      </c>
      <c r="F37" s="6">
        <v>1.3172608985385246</v>
      </c>
      <c r="G37" s="6">
        <v>0.48549028327953625</v>
      </c>
      <c r="H37" s="6">
        <v>0.30378841654894934</v>
      </c>
      <c r="I37" s="6">
        <v>0.33300617383568132</v>
      </c>
      <c r="J37" s="6">
        <v>0.40989874913335234</v>
      </c>
      <c r="K37" s="6">
        <v>0.24967162677110039</v>
      </c>
      <c r="L37" s="6">
        <v>0.35252830033303217</v>
      </c>
      <c r="M37" s="7">
        <v>0.41374641361272591</v>
      </c>
      <c r="N37" s="16"/>
    </row>
    <row r="38" spans="3:18" x14ac:dyDescent="0.3">
      <c r="C38" s="20" t="s">
        <v>1</v>
      </c>
      <c r="D38" s="25" t="s">
        <v>53</v>
      </c>
      <c r="E38" s="5">
        <v>0.2074742506822719</v>
      </c>
      <c r="F38" s="6">
        <v>0.19978002173610504</v>
      </c>
      <c r="G38" s="6">
        <v>1.240510944690963</v>
      </c>
      <c r="H38" s="6">
        <v>0.27092289722583862</v>
      </c>
      <c r="I38" s="6">
        <v>0.31123728778161275</v>
      </c>
      <c r="J38" s="6">
        <v>0.23432538646469508</v>
      </c>
      <c r="K38" s="6">
        <v>0.25324770499865418</v>
      </c>
      <c r="L38" s="6">
        <v>0.26224416171485226</v>
      </c>
      <c r="M38" s="7">
        <v>0.34320408963184657</v>
      </c>
      <c r="N38" s="16"/>
    </row>
    <row r="39" spans="3:18" x14ac:dyDescent="0.3">
      <c r="C39" s="20" t="s">
        <v>10</v>
      </c>
      <c r="D39" s="25" t="str">
        <f>+D36</f>
        <v>Agr</v>
      </c>
      <c r="E39" s="5">
        <v>0.53714444236989467</v>
      </c>
      <c r="F39" s="6">
        <v>0.50702379669504871</v>
      </c>
      <c r="G39" s="6">
        <v>0.60361354768875697</v>
      </c>
      <c r="H39" s="6">
        <v>1.4734462215990785</v>
      </c>
      <c r="I39" s="6">
        <v>0.66524536046192229</v>
      </c>
      <c r="J39" s="6">
        <v>0.53235993456841957</v>
      </c>
      <c r="K39" s="6">
        <v>0.4846663390785429</v>
      </c>
      <c r="L39" s="6">
        <v>0.57829959159716304</v>
      </c>
      <c r="M39" s="7">
        <v>0.63100507592216359</v>
      </c>
      <c r="N39" s="16"/>
    </row>
    <row r="40" spans="3:18" x14ac:dyDescent="0.3">
      <c r="C40" s="20" t="s">
        <v>10</v>
      </c>
      <c r="D40" s="25" t="str">
        <f t="shared" ref="D40:D44" si="9">+D37</f>
        <v>Ind</v>
      </c>
      <c r="E40" s="5">
        <v>0.32247029305649511</v>
      </c>
      <c r="F40" s="6">
        <v>0.29326232492796661</v>
      </c>
      <c r="G40" s="6">
        <v>0.38407034338825108</v>
      </c>
      <c r="H40" s="6">
        <v>0.32797259568663878</v>
      </c>
      <c r="I40" s="6">
        <v>1.4516270142183123</v>
      </c>
      <c r="J40" s="6">
        <v>0.3119277373964548</v>
      </c>
      <c r="K40" s="6">
        <v>0.35069080641649408</v>
      </c>
      <c r="L40" s="6">
        <v>0.30485431129549817</v>
      </c>
      <c r="M40" s="7">
        <v>0.45613561898144406</v>
      </c>
      <c r="N40" s="16"/>
    </row>
    <row r="41" spans="3:18" x14ac:dyDescent="0.3">
      <c r="C41" s="20" t="s">
        <v>10</v>
      </c>
      <c r="D41" s="25" t="str">
        <f t="shared" si="9"/>
        <v>Serv</v>
      </c>
      <c r="E41" s="5">
        <v>0.28395488029259369</v>
      </c>
      <c r="F41" s="6">
        <v>0.27471938096654402</v>
      </c>
      <c r="G41" s="6">
        <v>0.32192316906701296</v>
      </c>
      <c r="H41" s="6">
        <v>0.2179651515670501</v>
      </c>
      <c r="I41" s="6">
        <v>0.39108476709587248</v>
      </c>
      <c r="J41" s="6">
        <v>1.2293353693876374</v>
      </c>
      <c r="K41" s="6">
        <v>0.20307766664984303</v>
      </c>
      <c r="L41" s="6">
        <v>0.29647924631826084</v>
      </c>
      <c r="M41" s="7">
        <v>0.27414552707104473</v>
      </c>
      <c r="N41" s="16"/>
    </row>
    <row r="42" spans="3:18" x14ac:dyDescent="0.3">
      <c r="C42" s="20" t="s">
        <v>11</v>
      </c>
      <c r="D42" s="25" t="str">
        <f t="shared" si="9"/>
        <v>Agr</v>
      </c>
      <c r="E42" s="5">
        <v>0.42729764229377726</v>
      </c>
      <c r="F42" s="6">
        <v>0.53696365186356176</v>
      </c>
      <c r="G42" s="6">
        <v>0.62208055426394782</v>
      </c>
      <c r="H42" s="6">
        <v>0.46933394587054389</v>
      </c>
      <c r="I42" s="6">
        <v>0.61811533035094579</v>
      </c>
      <c r="J42" s="6">
        <v>0.37911182240508262</v>
      </c>
      <c r="K42" s="6">
        <v>1.4301653296379566</v>
      </c>
      <c r="L42" s="6">
        <v>0.53752132604763259</v>
      </c>
      <c r="M42" s="7">
        <v>0.59061253627486698</v>
      </c>
      <c r="N42" s="16"/>
    </row>
    <row r="43" spans="3:18" x14ac:dyDescent="0.3">
      <c r="C43" s="20" t="s">
        <v>11</v>
      </c>
      <c r="D43" s="25" t="str">
        <f t="shared" si="9"/>
        <v>Ind</v>
      </c>
      <c r="E43" s="5">
        <v>0.23396388418891498</v>
      </c>
      <c r="F43" s="6">
        <v>0.36059831905888179</v>
      </c>
      <c r="G43" s="6">
        <v>0.28314128575522529</v>
      </c>
      <c r="H43" s="6">
        <v>0.31057952490255142</v>
      </c>
      <c r="I43" s="6">
        <v>0.24478637254762423</v>
      </c>
      <c r="J43" s="6">
        <v>0.22449519930286199</v>
      </c>
      <c r="K43" s="6">
        <v>0.28310653656596901</v>
      </c>
      <c r="L43" s="6">
        <v>1.3875097832886509</v>
      </c>
      <c r="M43" s="7">
        <v>0.27978918152700477</v>
      </c>
      <c r="N43" s="16"/>
    </row>
    <row r="44" spans="3:18" x14ac:dyDescent="0.3">
      <c r="C44" s="20" t="s">
        <v>11</v>
      </c>
      <c r="D44" s="25" t="str">
        <f t="shared" si="9"/>
        <v>Serv</v>
      </c>
      <c r="E44" s="9">
        <v>0.34300632455016716</v>
      </c>
      <c r="F44" s="10">
        <v>0.22872554750616381</v>
      </c>
      <c r="G44" s="10">
        <v>0.32848678387342523</v>
      </c>
      <c r="H44" s="10">
        <v>0.30167688316703001</v>
      </c>
      <c r="I44" s="10">
        <v>0.24203200388680285</v>
      </c>
      <c r="J44" s="10">
        <v>0.2008664266214204</v>
      </c>
      <c r="K44" s="10">
        <v>0.21454275269698328</v>
      </c>
      <c r="L44" s="10">
        <v>0.22237550797480354</v>
      </c>
      <c r="M44" s="11">
        <v>1.3509109021383825</v>
      </c>
      <c r="N44" s="16"/>
    </row>
    <row r="45" spans="3:18" ht="15" thickBot="1" x14ac:dyDescent="0.35"/>
    <row r="46" spans="3:18" ht="15" thickBot="1" x14ac:dyDescent="0.35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3:18" x14ac:dyDescent="0.3">
      <c r="C47" s="22" t="s">
        <v>1</v>
      </c>
      <c r="D47" s="28" t="s">
        <v>51</v>
      </c>
      <c r="E47" s="32"/>
      <c r="F47" s="35"/>
      <c r="G47" s="1"/>
      <c r="H47" s="84" cm="1">
        <f t="array" ref="H47:H55">+N5:N13</f>
        <v>27.20340055548845</v>
      </c>
      <c r="J47" s="22" t="s">
        <v>1</v>
      </c>
      <c r="K47" s="28" t="s">
        <v>51</v>
      </c>
      <c r="L47" s="32">
        <v>0</v>
      </c>
      <c r="M47" s="35">
        <f>1-L47%</f>
        <v>1</v>
      </c>
      <c r="N47" s="1" cm="1">
        <f t="array" ref="N47:N55">+_xlfn.ANCHORARRAY(O5)</f>
        <v>64.003400555488454</v>
      </c>
      <c r="O47" s="3" cm="1">
        <f t="array" ref="O47:O55">+_xlfn.ANCHORARRAY(O5)</f>
        <v>64.003400555488454</v>
      </c>
      <c r="P47" s="18"/>
      <c r="Q47" s="18"/>
      <c r="R47" s="18"/>
    </row>
    <row r="48" spans="3:18" x14ac:dyDescent="0.3">
      <c r="C48" s="20" t="s">
        <v>1</v>
      </c>
      <c r="D48" s="25" t="s">
        <v>52</v>
      </c>
      <c r="E48" s="33"/>
      <c r="F48" s="35"/>
      <c r="G48" s="5"/>
      <c r="H48" s="87">
        <v>4.5827363844946376</v>
      </c>
      <c r="J48" s="20" t="s">
        <v>1</v>
      </c>
      <c r="K48" s="25" t="s">
        <v>52</v>
      </c>
      <c r="L48" s="33"/>
      <c r="M48" s="35">
        <f t="shared" ref="M48:M55" si="10">1-L48%</f>
        <v>1</v>
      </c>
      <c r="N48" s="5">
        <v>52.582736384494638</v>
      </c>
      <c r="O48" s="7">
        <v>52.582736384494638</v>
      </c>
      <c r="P48" s="18"/>
    </row>
    <row r="49" spans="1:16" x14ac:dyDescent="0.3">
      <c r="C49" s="20" t="s">
        <v>1</v>
      </c>
      <c r="D49" s="25" t="s">
        <v>53</v>
      </c>
      <c r="E49" s="33"/>
      <c r="F49" s="35"/>
      <c r="G49" s="5"/>
      <c r="H49" s="87">
        <v>11.934338364931783</v>
      </c>
      <c r="J49" s="20" t="s">
        <v>1</v>
      </c>
      <c r="K49" s="25" t="s">
        <v>53</v>
      </c>
      <c r="L49" s="33"/>
      <c r="M49" s="35">
        <f t="shared" si="10"/>
        <v>1</v>
      </c>
      <c r="N49" s="5">
        <v>44.934338364931783</v>
      </c>
      <c r="O49" s="7">
        <v>44.934338364931783</v>
      </c>
      <c r="P49" s="18"/>
    </row>
    <row r="50" spans="1:16" x14ac:dyDescent="0.3">
      <c r="C50" s="20" t="s">
        <v>10</v>
      </c>
      <c r="D50" s="25" t="str">
        <f>+D47</f>
        <v>Agr</v>
      </c>
      <c r="E50" s="33"/>
      <c r="F50" s="35"/>
      <c r="G50" s="5"/>
      <c r="H50" s="87">
        <v>6.3960797005192944</v>
      </c>
      <c r="J50" s="20" t="s">
        <v>10</v>
      </c>
      <c r="K50" s="25" t="str">
        <f>+K47</f>
        <v>Agr</v>
      </c>
      <c r="L50" s="33"/>
      <c r="M50" s="35">
        <f t="shared" si="10"/>
        <v>1</v>
      </c>
      <c r="N50" s="5">
        <v>78.39607970051928</v>
      </c>
      <c r="O50" s="7">
        <v>78.39607970051928</v>
      </c>
      <c r="P50" s="18"/>
    </row>
    <row r="51" spans="1:16" x14ac:dyDescent="0.3">
      <c r="C51" s="20" t="s">
        <v>10</v>
      </c>
      <c r="D51" s="25" t="str">
        <f t="shared" ref="D51:D55" si="11">+D48</f>
        <v>Ind</v>
      </c>
      <c r="E51" s="33"/>
      <c r="F51" s="35"/>
      <c r="G51" s="5"/>
      <c r="H51" s="87">
        <v>2.8024876222678472</v>
      </c>
      <c r="J51" s="20" t="s">
        <v>10</v>
      </c>
      <c r="K51" s="25" t="str">
        <f t="shared" ref="K51:K55" si="12">+K48</f>
        <v>Ind</v>
      </c>
      <c r="L51" s="33"/>
      <c r="M51" s="35">
        <f t="shared" si="10"/>
        <v>1</v>
      </c>
      <c r="N51" s="5">
        <v>47.802487622267847</v>
      </c>
      <c r="O51" s="7">
        <v>47.802487622267847</v>
      </c>
      <c r="P51" s="18"/>
    </row>
    <row r="52" spans="1:16" x14ac:dyDescent="0.3">
      <c r="C52" s="20" t="s">
        <v>10</v>
      </c>
      <c r="D52" s="25" t="str">
        <f t="shared" si="11"/>
        <v>Serv</v>
      </c>
      <c r="E52" s="33"/>
      <c r="F52" s="35"/>
      <c r="G52" s="5"/>
      <c r="H52" s="87">
        <v>17.582736384494623</v>
      </c>
      <c r="J52" s="20" t="s">
        <v>10</v>
      </c>
      <c r="K52" s="25" t="str">
        <f t="shared" si="12"/>
        <v>Serv</v>
      </c>
      <c r="L52" s="33"/>
      <c r="M52" s="35">
        <f t="shared" si="10"/>
        <v>1</v>
      </c>
      <c r="N52" s="5">
        <v>52.582736384494623</v>
      </c>
      <c r="O52" s="7">
        <v>52.582736384494623</v>
      </c>
      <c r="P52" s="18"/>
    </row>
    <row r="53" spans="1:16" x14ac:dyDescent="0.3">
      <c r="C53" s="20" t="s">
        <v>11</v>
      </c>
      <c r="D53" s="25" t="str">
        <f t="shared" si="11"/>
        <v>Agr</v>
      </c>
      <c r="E53" s="33"/>
      <c r="F53" s="35"/>
      <c r="G53" s="5"/>
      <c r="H53" s="87">
        <v>11.527930443183195</v>
      </c>
      <c r="J53" s="20" t="s">
        <v>11</v>
      </c>
      <c r="K53" s="25" t="str">
        <f t="shared" si="12"/>
        <v>Agr</v>
      </c>
      <c r="L53" s="33"/>
      <c r="M53" s="35">
        <f t="shared" si="10"/>
        <v>1</v>
      </c>
      <c r="N53" s="5">
        <v>75.527930443183195</v>
      </c>
      <c r="O53" s="7">
        <v>75.527930443183195</v>
      </c>
      <c r="P53" s="18"/>
    </row>
    <row r="54" spans="1:16" x14ac:dyDescent="0.3">
      <c r="C54" s="20" t="s">
        <v>11</v>
      </c>
      <c r="D54" s="25" t="str">
        <f t="shared" si="11"/>
        <v>Ind</v>
      </c>
      <c r="E54" s="33"/>
      <c r="F54" s="35"/>
      <c r="G54" s="5"/>
      <c r="H54" s="87">
        <v>25.14323390894819</v>
      </c>
      <c r="J54" s="20" t="s">
        <v>11</v>
      </c>
      <c r="K54" s="25" t="str">
        <f t="shared" si="12"/>
        <v>Ind</v>
      </c>
      <c r="L54" s="33"/>
      <c r="M54" s="35">
        <f t="shared" si="10"/>
        <v>1</v>
      </c>
      <c r="N54" s="5">
        <v>62.143233908948197</v>
      </c>
      <c r="O54" s="7">
        <v>62.143233908948197</v>
      </c>
      <c r="P54" s="18"/>
    </row>
    <row r="55" spans="1:16" x14ac:dyDescent="0.3">
      <c r="C55" s="20" t="s">
        <v>11</v>
      </c>
      <c r="D55" s="25" t="str">
        <f t="shared" si="11"/>
        <v>Serv</v>
      </c>
      <c r="E55" s="34"/>
      <c r="F55" s="35"/>
      <c r="G55" s="9"/>
      <c r="H55" s="90">
        <v>21.362985146721421</v>
      </c>
      <c r="J55" s="20" t="s">
        <v>11</v>
      </c>
      <c r="K55" s="25" t="str">
        <f t="shared" si="12"/>
        <v>Serv</v>
      </c>
      <c r="L55" s="34"/>
      <c r="M55" s="35">
        <f t="shared" si="10"/>
        <v>1</v>
      </c>
      <c r="N55" s="9">
        <v>57.362985146721414</v>
      </c>
      <c r="O55" s="11">
        <v>57.362985146721414</v>
      </c>
      <c r="P55" s="18"/>
    </row>
    <row r="56" spans="1:16" x14ac:dyDescent="0.3">
      <c r="G56" s="13">
        <f t="shared" ref="G56:H56" si="13">SUM(G47:G55)</f>
        <v>0</v>
      </c>
      <c r="H56" s="15">
        <f t="shared" si="13"/>
        <v>128.53592851104943</v>
      </c>
      <c r="N56" s="13">
        <f t="shared" ref="N56:O56" si="14">SUM(N47:N55)</f>
        <v>535.33592851104947</v>
      </c>
      <c r="O56" s="15">
        <f t="shared" si="14"/>
        <v>535.33592851104947</v>
      </c>
    </row>
    <row r="58" spans="1:16" x14ac:dyDescent="0.3">
      <c r="A58" s="66"/>
    </row>
    <row r="59" spans="1:16" x14ac:dyDescent="0.3">
      <c r="A59" s="68" t="s">
        <v>30</v>
      </c>
      <c r="E59" s="20" t="s">
        <v>20</v>
      </c>
      <c r="F59" s="20" t="s">
        <v>19</v>
      </c>
      <c r="G59" s="20" t="s">
        <v>3</v>
      </c>
    </row>
    <row r="60" spans="1:16" x14ac:dyDescent="0.3">
      <c r="A60" s="67"/>
      <c r="C60" s="20" t="s">
        <v>1</v>
      </c>
      <c r="D60" s="28" t="s">
        <v>51</v>
      </c>
      <c r="E60" s="91" cm="1">
        <f t="array" ref="E60:E68">+'IO_sub_model (2)'!F188:F196</f>
        <v>67.410989010989013</v>
      </c>
      <c r="F60" s="133" cm="1">
        <f t="array" ref="F60:F68">+_xlfn.ANCHORARRAY(O5)</f>
        <v>64.003400555488454</v>
      </c>
      <c r="G60" s="94">
        <f>+MIN(F60/E60,1)</f>
        <v>0.94945054945054919</v>
      </c>
      <c r="H60" s="18"/>
    </row>
    <row r="61" spans="1:16" x14ac:dyDescent="0.3">
      <c r="C61" s="20" t="s">
        <v>1</v>
      </c>
      <c r="D61" s="25" t="s">
        <v>52</v>
      </c>
      <c r="E61" s="92">
        <v>52.219780219780219</v>
      </c>
      <c r="F61" s="134">
        <v>52.582736384494638</v>
      </c>
      <c r="G61" s="95">
        <f t="shared" ref="G61:G68" si="15">+MIN(F61/E61,1)</f>
        <v>1</v>
      </c>
      <c r="H61" s="18"/>
    </row>
    <row r="62" spans="1:16" x14ac:dyDescent="0.3">
      <c r="C62" s="20" t="s">
        <v>1</v>
      </c>
      <c r="D62" s="25" t="s">
        <v>53</v>
      </c>
      <c r="E62" s="92">
        <v>44.624175824175829</v>
      </c>
      <c r="F62" s="134">
        <v>44.934338364931783</v>
      </c>
      <c r="G62" s="95">
        <f t="shared" si="15"/>
        <v>1</v>
      </c>
      <c r="H62" s="18"/>
    </row>
    <row r="63" spans="1:16" x14ac:dyDescent="0.3">
      <c r="C63" s="20" t="s">
        <v>10</v>
      </c>
      <c r="D63" s="25" t="str">
        <f>+D60</f>
        <v>Agr</v>
      </c>
      <c r="E63" s="92">
        <v>77.854945054945048</v>
      </c>
      <c r="F63" s="134">
        <v>78.39607970051928</v>
      </c>
      <c r="G63" s="95">
        <f t="shared" si="15"/>
        <v>1</v>
      </c>
      <c r="H63" s="18"/>
    </row>
    <row r="64" spans="1:16" x14ac:dyDescent="0.3">
      <c r="C64" s="20" t="s">
        <v>10</v>
      </c>
      <c r="D64" s="25" t="str">
        <f t="shared" ref="D64:D68" si="16">+D61</f>
        <v>Ind</v>
      </c>
      <c r="E64" s="92">
        <v>47.47252747252746</v>
      </c>
      <c r="F64" s="134">
        <v>47.802487622267847</v>
      </c>
      <c r="G64" s="95">
        <f t="shared" si="15"/>
        <v>1</v>
      </c>
      <c r="H64" s="18"/>
    </row>
    <row r="65" spans="1:13" x14ac:dyDescent="0.3">
      <c r="C65" s="20" t="s">
        <v>10</v>
      </c>
      <c r="D65" s="25" t="str">
        <f t="shared" si="16"/>
        <v>Serv</v>
      </c>
      <c r="E65" s="92">
        <v>52.219780219780212</v>
      </c>
      <c r="F65" s="134">
        <v>52.582736384494623</v>
      </c>
      <c r="G65" s="95">
        <f t="shared" si="15"/>
        <v>1</v>
      </c>
      <c r="H65" s="18"/>
    </row>
    <row r="66" spans="1:13" x14ac:dyDescent="0.3">
      <c r="C66" s="20" t="s">
        <v>11</v>
      </c>
      <c r="D66" s="25" t="str">
        <f t="shared" si="16"/>
        <v>Agr</v>
      </c>
      <c r="E66" s="92">
        <v>75.006593406593396</v>
      </c>
      <c r="F66" s="134">
        <v>75.527930443183195</v>
      </c>
      <c r="G66" s="95">
        <f t="shared" si="15"/>
        <v>1</v>
      </c>
      <c r="H66" s="18"/>
    </row>
    <row r="67" spans="1:13" x14ac:dyDescent="0.3">
      <c r="C67" s="20" t="s">
        <v>11</v>
      </c>
      <c r="D67" s="25" t="str">
        <f t="shared" si="16"/>
        <v>Ind</v>
      </c>
      <c r="E67" s="92">
        <v>61.714285714285694</v>
      </c>
      <c r="F67" s="134">
        <v>62.143233908948197</v>
      </c>
      <c r="G67" s="95">
        <f t="shared" si="15"/>
        <v>1</v>
      </c>
      <c r="H67" s="18"/>
    </row>
    <row r="68" spans="1:13" x14ac:dyDescent="0.3">
      <c r="C68" s="20" t="s">
        <v>11</v>
      </c>
      <c r="D68" s="25" t="str">
        <f t="shared" si="16"/>
        <v>Serv</v>
      </c>
      <c r="E68" s="93">
        <v>56.967032967032978</v>
      </c>
      <c r="F68" s="135">
        <v>57.362985146721414</v>
      </c>
      <c r="G68" s="96">
        <f t="shared" si="15"/>
        <v>1</v>
      </c>
      <c r="H68" s="18"/>
    </row>
    <row r="69" spans="1:13" x14ac:dyDescent="0.3">
      <c r="A69" s="66"/>
    </row>
    <row r="70" spans="1:13" x14ac:dyDescent="0.3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13" x14ac:dyDescent="0.3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13" x14ac:dyDescent="0.3">
      <c r="C72" t="s">
        <v>25</v>
      </c>
      <c r="D72" s="20" t="s">
        <v>4</v>
      </c>
      <c r="E72" s="43" cm="1">
        <f t="array" ref="E72">+MIN(_xlfn._xlws.FILTER($G$60:$G$68,E21:E29&gt;0))</f>
        <v>0.94945054945054919</v>
      </c>
      <c r="F72" s="44" cm="1">
        <f t="array" ref="F72">+MIN(_xlfn._xlws.FILTER($G$60:$G$68,F21:F29&gt;0))</f>
        <v>0.94945054945054919</v>
      </c>
      <c r="G72" s="44" cm="1">
        <f t="array" ref="G72">+MIN(_xlfn._xlws.FILTER($G$60:$G$68,G21:G29&gt;0))</f>
        <v>0.94945054945054919</v>
      </c>
      <c r="H72" s="44" cm="1">
        <f t="array" ref="H72">+MIN(_xlfn._xlws.FILTER($G$60:$G$68,H21:H29&gt;0))</f>
        <v>0.94945054945054919</v>
      </c>
      <c r="I72" s="44" cm="1">
        <f t="array" ref="I72">+MIN(_xlfn._xlws.FILTER($G$60:$G$68,I21:I29&gt;0))</f>
        <v>0.94945054945054919</v>
      </c>
      <c r="J72" s="44" cm="1">
        <f t="array" ref="J72">+MIN(_xlfn._xlws.FILTER($G$60:$G$68,J21:J29&gt;0))</f>
        <v>0.94945054945054919</v>
      </c>
      <c r="K72" s="44" cm="1">
        <f t="array" ref="K72">+MIN(_xlfn._xlws.FILTER($G$60:$G$68,K21:K29&gt;0))</f>
        <v>0.94945054945054919</v>
      </c>
      <c r="L72" s="44" cm="1">
        <f t="array" ref="L72">+MIN(_xlfn._xlws.FILTER($G$60:$G$68,L21:L29&gt;0))</f>
        <v>0.94945054945054919</v>
      </c>
      <c r="M72" s="45" cm="1">
        <f t="array" ref="M72">+MIN(_xlfn._xlws.FILTER($G$60:$G$68,M21:M29&gt;0))</f>
        <v>0.94945054945054919</v>
      </c>
    </row>
    <row r="73" spans="1:13" ht="15" thickBot="1" x14ac:dyDescent="0.35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13" x14ac:dyDescent="0.3">
      <c r="D74" s="22" t="s">
        <v>22</v>
      </c>
      <c r="E74" s="46">
        <f>+MIN(E72:E73)</f>
        <v>0.94945054945054919</v>
      </c>
      <c r="F74" s="47">
        <f t="shared" ref="F74:M74" si="17">+MIN(F72:F73)</f>
        <v>0.94945054945054919</v>
      </c>
      <c r="G74" s="47">
        <f t="shared" si="17"/>
        <v>0.94945054945054919</v>
      </c>
      <c r="H74" s="47">
        <f t="shared" si="17"/>
        <v>0.94945054945054919</v>
      </c>
      <c r="I74" s="47">
        <f t="shared" si="17"/>
        <v>0.94945054945054919</v>
      </c>
      <c r="J74" s="47">
        <f t="shared" si="17"/>
        <v>0.94945054945054919</v>
      </c>
      <c r="K74" s="47">
        <f t="shared" si="17"/>
        <v>0.94945054945054919</v>
      </c>
      <c r="L74" s="47">
        <f t="shared" si="17"/>
        <v>0.94945054945054919</v>
      </c>
      <c r="M74" s="48">
        <f t="shared" si="17"/>
        <v>0.94945054945054919</v>
      </c>
    </row>
    <row r="75" spans="1:13" x14ac:dyDescent="0.3">
      <c r="A75" s="66"/>
    </row>
    <row r="76" spans="1:13" ht="15" thickBot="1" x14ac:dyDescent="0.35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13" ht="15" thickBot="1" x14ac:dyDescent="0.35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13" x14ac:dyDescent="0.3">
      <c r="B78" s="63" cm="1">
        <f t="array" ref="B78:B86">+TRANSPOSE(E74:M74)</f>
        <v>0.94945054945054919</v>
      </c>
      <c r="C78" s="20" t="s">
        <v>1</v>
      </c>
      <c r="D78" s="28" t="s">
        <v>51</v>
      </c>
      <c r="E78" s="1">
        <f>+E5*$B78</f>
        <v>7.2116507668155982</v>
      </c>
      <c r="F78" s="2">
        <f t="shared" ref="F78:M78" si="18">+F5*$B78</f>
        <v>3.8265987199613569</v>
      </c>
      <c r="G78" s="2">
        <f t="shared" si="18"/>
        <v>7.4545014370245113</v>
      </c>
      <c r="H78" s="2">
        <f t="shared" si="18"/>
        <v>0.90882241275208353</v>
      </c>
      <c r="I78" s="2">
        <f t="shared" si="18"/>
        <v>0.22077333655355841</v>
      </c>
      <c r="J78" s="2">
        <f t="shared" si="18"/>
        <v>5.9569779495230026</v>
      </c>
      <c r="K78" s="2">
        <f t="shared" si="18"/>
        <v>2.3842685665982382</v>
      </c>
      <c r="L78" s="2">
        <f t="shared" si="18"/>
        <v>5.3241222074628665</v>
      </c>
      <c r="M78" s="3">
        <f t="shared" si="18"/>
        <v>1.6520648230889989</v>
      </c>
    </row>
    <row r="79" spans="1:13" x14ac:dyDescent="0.3">
      <c r="B79" s="30">
        <v>0.94945054945054919</v>
      </c>
      <c r="C79" s="20" t="s">
        <v>1</v>
      </c>
      <c r="D79" s="25" t="s">
        <v>52</v>
      </c>
      <c r="E79" s="5">
        <f t="shared" ref="E79:M86" si="19">+E6*$B79</f>
        <v>6.685624475589047</v>
      </c>
      <c r="F79" s="6">
        <f t="shared" si="19"/>
        <v>3.5393912585152383</v>
      </c>
      <c r="G79" s="6">
        <f t="shared" si="19"/>
        <v>7.6430687084483298</v>
      </c>
      <c r="H79" s="6">
        <f t="shared" si="19"/>
        <v>4.5823189937604516</v>
      </c>
      <c r="I79" s="6">
        <f t="shared" si="19"/>
        <v>1.8231626009712056</v>
      </c>
      <c r="J79" s="6">
        <f t="shared" si="19"/>
        <v>8.5054251847302371</v>
      </c>
      <c r="K79" s="6">
        <f t="shared" si="19"/>
        <v>1.9918876730847133</v>
      </c>
      <c r="L79" s="6">
        <f t="shared" si="19"/>
        <v>4.6250607449534185</v>
      </c>
      <c r="M79" s="7">
        <f t="shared" si="19"/>
        <v>6.1776867335737222</v>
      </c>
    </row>
    <row r="80" spans="1:13" x14ac:dyDescent="0.3">
      <c r="B80" s="30">
        <v>0.94945054945054919</v>
      </c>
      <c r="C80" s="20" t="s">
        <v>1</v>
      </c>
      <c r="D80" s="25" t="s">
        <v>53</v>
      </c>
      <c r="E80" s="5">
        <f t="shared" si="19"/>
        <v>0.91532490501890218</v>
      </c>
      <c r="F80" s="6">
        <f t="shared" si="19"/>
        <v>0.52643943039209362</v>
      </c>
      <c r="G80" s="6">
        <f t="shared" si="19"/>
        <v>0.60164506330525003</v>
      </c>
      <c r="H80" s="6">
        <f t="shared" si="19"/>
        <v>6.4018569292077308</v>
      </c>
      <c r="I80" s="6">
        <f t="shared" si="19"/>
        <v>3.8623335345972705</v>
      </c>
      <c r="J80" s="6">
        <f t="shared" si="19"/>
        <v>3.3358941042051762</v>
      </c>
      <c r="K80" s="6">
        <f t="shared" si="19"/>
        <v>5.8754174988156374</v>
      </c>
      <c r="L80" s="6">
        <f t="shared" si="19"/>
        <v>3.6367166358578022</v>
      </c>
      <c r="M80" s="7">
        <f t="shared" si="19"/>
        <v>6.1762400304682625</v>
      </c>
    </row>
    <row r="81" spans="1:14" x14ac:dyDescent="0.3">
      <c r="B81" s="30">
        <v>0.94945054945054919</v>
      </c>
      <c r="C81" s="20" t="s">
        <v>10</v>
      </c>
      <c r="D81" s="25" t="str">
        <f>+D78</f>
        <v>Agr</v>
      </c>
      <c r="E81" s="5">
        <f t="shared" si="19"/>
        <v>8.0596140987378693</v>
      </c>
      <c r="F81" s="6">
        <f t="shared" si="19"/>
        <v>5.464253587253225</v>
      </c>
      <c r="G81" s="6">
        <f t="shared" si="19"/>
        <v>4.9289313309562095</v>
      </c>
      <c r="H81" s="6">
        <f t="shared" si="19"/>
        <v>6.6278195100395303</v>
      </c>
      <c r="I81" s="6">
        <f t="shared" si="19"/>
        <v>9.0700789706610241</v>
      </c>
      <c r="J81" s="6">
        <f t="shared" si="19"/>
        <v>8.0701496634026491</v>
      </c>
      <c r="K81" s="6">
        <f t="shared" si="19"/>
        <v>9.0700789706610241</v>
      </c>
      <c r="L81" s="6">
        <f t="shared" si="19"/>
        <v>8.8135209449408212</v>
      </c>
      <c r="M81" s="7">
        <f t="shared" si="19"/>
        <v>8.2559924837871925</v>
      </c>
    </row>
    <row r="82" spans="1:14" x14ac:dyDescent="0.3">
      <c r="B82" s="30">
        <v>0.94945054945054919</v>
      </c>
      <c r="C82" s="20" t="s">
        <v>10</v>
      </c>
      <c r="D82" s="25" t="str">
        <f t="shared" ref="D82:D86" si="20">+D79</f>
        <v>Ind</v>
      </c>
      <c r="E82" s="5">
        <f t="shared" si="19"/>
        <v>3.6058253834077991</v>
      </c>
      <c r="F82" s="6">
        <f t="shared" si="19"/>
        <v>2.0428837096968984</v>
      </c>
      <c r="G82" s="6">
        <f t="shared" si="19"/>
        <v>2.9258807464724628</v>
      </c>
      <c r="H82" s="6">
        <f t="shared" si="19"/>
        <v>5.7594649475630026</v>
      </c>
      <c r="I82" s="6">
        <f t="shared" si="19"/>
        <v>6.4763282026511062</v>
      </c>
      <c r="J82" s="6">
        <f t="shared" si="19"/>
        <v>3.864255710477182</v>
      </c>
      <c r="K82" s="6">
        <f t="shared" si="19"/>
        <v>8.4453746760424675</v>
      </c>
      <c r="L82" s="6">
        <f t="shared" si="19"/>
        <v>2.0982616369260527</v>
      </c>
      <c r="M82" s="7">
        <f t="shared" si="19"/>
        <v>7.5069997120377474</v>
      </c>
    </row>
    <row r="83" spans="1:14" x14ac:dyDescent="0.3">
      <c r="B83" s="30">
        <v>0.94945054945054919</v>
      </c>
      <c r="C83" s="20" t="s">
        <v>10</v>
      </c>
      <c r="D83" s="25" t="str">
        <f t="shared" si="20"/>
        <v>Serv</v>
      </c>
      <c r="E83" s="5">
        <f t="shared" si="19"/>
        <v>5.2977896017760733</v>
      </c>
      <c r="F83" s="6">
        <f t="shared" si="19"/>
        <v>4.1641702338236559</v>
      </c>
      <c r="G83" s="6">
        <f t="shared" si="19"/>
        <v>3.5227687072015041</v>
      </c>
      <c r="H83" s="6">
        <f t="shared" si="19"/>
        <v>2.1569089777509047</v>
      </c>
      <c r="I83" s="6">
        <f t="shared" si="19"/>
        <v>7.5274118409063435</v>
      </c>
      <c r="J83" s="6">
        <f t="shared" si="19"/>
        <v>1.920911453719568</v>
      </c>
      <c r="K83" s="6">
        <f t="shared" si="19"/>
        <v>1.598564127335049</v>
      </c>
      <c r="L83" s="6">
        <f t="shared" si="19"/>
        <v>5.1246259606834412</v>
      </c>
      <c r="M83" s="7">
        <f t="shared" si="19"/>
        <v>1.9176183275726817</v>
      </c>
    </row>
    <row r="84" spans="1:14" x14ac:dyDescent="0.3">
      <c r="B84" s="30">
        <v>0.94945054945054919</v>
      </c>
      <c r="C84" s="20" t="s">
        <v>11</v>
      </c>
      <c r="D84" s="25" t="str">
        <f t="shared" si="20"/>
        <v>Agr</v>
      </c>
      <c r="E84" s="5">
        <f t="shared" si="19"/>
        <v>3.5582760376925306</v>
      </c>
      <c r="F84" s="6">
        <f t="shared" si="19"/>
        <v>8.8635869480115339</v>
      </c>
      <c r="G84" s="6">
        <f t="shared" si="19"/>
        <v>7.5864504127680084</v>
      </c>
      <c r="H84" s="6">
        <f t="shared" si="19"/>
        <v>7.8946314441505816</v>
      </c>
      <c r="I84" s="6">
        <f t="shared" si="19"/>
        <v>8.8635869480115321</v>
      </c>
      <c r="J84" s="6">
        <f t="shared" si="19"/>
        <v>1.4041457540165436</v>
      </c>
      <c r="K84" s="6">
        <f t="shared" si="19"/>
        <v>6.7000917179668544</v>
      </c>
      <c r="L84" s="6">
        <f t="shared" si="19"/>
        <v>8.5554059166289562</v>
      </c>
      <c r="M84" s="7">
        <f t="shared" si="19"/>
        <v>7.3386599855886177</v>
      </c>
    </row>
    <row r="85" spans="1:14" x14ac:dyDescent="0.3">
      <c r="B85" s="30">
        <v>0.94945054945054919</v>
      </c>
      <c r="C85" s="20" t="s">
        <v>11</v>
      </c>
      <c r="D85" s="25" t="str">
        <f t="shared" si="20"/>
        <v>Ind</v>
      </c>
      <c r="E85" s="5">
        <f t="shared" si="19"/>
        <v>1.4274826370784983</v>
      </c>
      <c r="F85" s="6">
        <f t="shared" si="19"/>
        <v>6.8299071353985354</v>
      </c>
      <c r="G85" s="6">
        <f t="shared" si="19"/>
        <v>0.88844940995060018</v>
      </c>
      <c r="H85" s="6">
        <f t="shared" si="19"/>
        <v>7.7990975947229106</v>
      </c>
      <c r="I85" s="6">
        <f t="shared" si="19"/>
        <v>0.29355834503123313</v>
      </c>
      <c r="J85" s="6">
        <f t="shared" si="19"/>
        <v>0.9972844471425355</v>
      </c>
      <c r="K85" s="6">
        <f t="shared" si="19"/>
        <v>6.7488359481799103</v>
      </c>
      <c r="L85" s="6">
        <f t="shared" si="19"/>
        <v>8.5532094379490484</v>
      </c>
      <c r="M85" s="7">
        <f t="shared" si="19"/>
        <v>1.5918453742170544</v>
      </c>
    </row>
    <row r="86" spans="1:14" x14ac:dyDescent="0.3">
      <c r="B86" s="31">
        <v>0.94945054945054919</v>
      </c>
      <c r="C86" s="20" t="s">
        <v>11</v>
      </c>
      <c r="D86" s="25" t="str">
        <f t="shared" si="20"/>
        <v>Serv</v>
      </c>
      <c r="E86" s="9">
        <f t="shared" si="19"/>
        <v>8.210187026836218</v>
      </c>
      <c r="F86" s="10">
        <f t="shared" si="19"/>
        <v>2.0166277137908577</v>
      </c>
      <c r="G86" s="10">
        <f t="shared" si="19"/>
        <v>3.5410003757865116</v>
      </c>
      <c r="H86" s="10">
        <f t="shared" si="19"/>
        <v>8.6884159222012105</v>
      </c>
      <c r="I86" s="10">
        <f t="shared" si="19"/>
        <v>1.0665526122229421</v>
      </c>
      <c r="J86" s="10">
        <f t="shared" si="19"/>
        <v>0.49225505179520407</v>
      </c>
      <c r="K86" s="10">
        <f t="shared" si="19"/>
        <v>3.0659628250025537</v>
      </c>
      <c r="L86" s="10">
        <f t="shared" si="19"/>
        <v>0.82042508632534028</v>
      </c>
      <c r="M86" s="11">
        <f t="shared" si="19"/>
        <v>6.2787931662589296</v>
      </c>
    </row>
    <row r="87" spans="1:14" x14ac:dyDescent="0.3">
      <c r="N87" s="19">
        <f>+SUM(E78:M86)</f>
        <v>386.2364835164833</v>
      </c>
    </row>
    <row r="88" spans="1:14" x14ac:dyDescent="0.3">
      <c r="D88" s="20" t="str" cm="1">
        <f t="array" ref="D88:M89">+TRANSPOSE(E59:F68)</f>
        <v>x_md</v>
      </c>
      <c r="E88" s="43">
        <v>67.410989010989013</v>
      </c>
      <c r="F88" s="44">
        <v>52.219780219780219</v>
      </c>
      <c r="G88" s="44">
        <v>44.624175824175829</v>
      </c>
      <c r="H88" s="44">
        <v>77.854945054945048</v>
      </c>
      <c r="I88" s="44">
        <v>47.47252747252746</v>
      </c>
      <c r="J88" s="44">
        <v>52.219780219780212</v>
      </c>
      <c r="K88" s="44">
        <v>75.006593406593396</v>
      </c>
      <c r="L88" s="44">
        <v>61.714285714285694</v>
      </c>
      <c r="M88" s="45">
        <v>56.967032967032978</v>
      </c>
    </row>
    <row r="89" spans="1:14" ht="15" thickBot="1" x14ac:dyDescent="0.35">
      <c r="D89" s="49" t="str">
        <v>x_max</v>
      </c>
      <c r="E89" s="50">
        <v>64.003400555488454</v>
      </c>
      <c r="F89" s="51">
        <v>52.582736384494638</v>
      </c>
      <c r="G89" s="51">
        <v>44.934338364931783</v>
      </c>
      <c r="H89" s="51">
        <v>78.39607970051928</v>
      </c>
      <c r="I89" s="51">
        <v>47.802487622267847</v>
      </c>
      <c r="J89" s="51">
        <v>52.582736384494623</v>
      </c>
      <c r="K89" s="51">
        <v>75.527930443183195</v>
      </c>
      <c r="L89" s="51">
        <v>62.143233908948197</v>
      </c>
      <c r="M89" s="52">
        <v>57.362985146721414</v>
      </c>
    </row>
    <row r="90" spans="1:14" x14ac:dyDescent="0.3">
      <c r="D90" s="22"/>
      <c r="E90" s="46">
        <f>+MIN(E88:E89)</f>
        <v>64.003400555488454</v>
      </c>
      <c r="F90" s="47">
        <f t="shared" ref="F90:M90" si="21">+MIN(F88:F89)</f>
        <v>52.219780219780219</v>
      </c>
      <c r="G90" s="47">
        <f t="shared" si="21"/>
        <v>44.624175824175829</v>
      </c>
      <c r="H90" s="47">
        <f t="shared" si="21"/>
        <v>77.854945054945048</v>
      </c>
      <c r="I90" s="47">
        <f t="shared" si="21"/>
        <v>47.47252747252746</v>
      </c>
      <c r="J90" s="47">
        <f t="shared" si="21"/>
        <v>52.219780219780212</v>
      </c>
      <c r="K90" s="47">
        <f t="shared" si="21"/>
        <v>75.006593406593396</v>
      </c>
      <c r="L90" s="47">
        <f t="shared" si="21"/>
        <v>61.714285714285694</v>
      </c>
      <c r="M90" s="48">
        <f t="shared" si="21"/>
        <v>56.967032967032978</v>
      </c>
    </row>
    <row r="91" spans="1:14" x14ac:dyDescent="0.3">
      <c r="A91" s="66"/>
    </row>
    <row r="92" spans="1:14" ht="15" thickBot="1" x14ac:dyDescent="0.35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14" ht="15" thickBot="1" x14ac:dyDescent="0.35">
      <c r="A93" s="67"/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14" x14ac:dyDescent="0.3">
      <c r="C94" s="20" t="s">
        <v>1</v>
      </c>
      <c r="D94" s="28" t="s">
        <v>51</v>
      </c>
      <c r="E94" s="1">
        <f>+E21*E$88</f>
        <v>7.9999999999999991</v>
      </c>
      <c r="F94" s="2">
        <f t="shared" ref="F94:M94" si="22">+F21*F$88</f>
        <v>4.0025100264644093</v>
      </c>
      <c r="G94" s="2">
        <f t="shared" si="22"/>
        <v>7.7971898616757143</v>
      </c>
      <c r="H94" s="2">
        <f t="shared" si="22"/>
        <v>0.95060158786456816</v>
      </c>
      <c r="I94" s="2">
        <f t="shared" si="22"/>
        <v>0.23092243472567264</v>
      </c>
      <c r="J94" s="2">
        <f t="shared" si="22"/>
        <v>6.2308242162988021</v>
      </c>
      <c r="K94" s="2">
        <f t="shared" si="22"/>
        <v>2.4938749897689156</v>
      </c>
      <c r="L94" s="2">
        <f t="shared" si="22"/>
        <v>5.5688756718413224</v>
      </c>
      <c r="M94" s="3">
        <f t="shared" si="22"/>
        <v>1.7280113496848832</v>
      </c>
      <c r="N94" s="19"/>
    </row>
    <row r="95" spans="1:14" x14ac:dyDescent="0.3">
      <c r="C95" s="20" t="s">
        <v>1</v>
      </c>
      <c r="D95" s="25" t="s">
        <v>52</v>
      </c>
      <c r="E95" s="5">
        <f t="shared" ref="E95:M102" si="23">+E22*E$88</f>
        <v>7.4164705882352919</v>
      </c>
      <c r="F95" s="6">
        <f t="shared" si="23"/>
        <v>3.7020994456222431</v>
      </c>
      <c r="G95" s="6">
        <f t="shared" si="23"/>
        <v>7.9944256968835639</v>
      </c>
      <c r="H95" s="6">
        <f t="shared" si="23"/>
        <v>4.7929712674888796</v>
      </c>
      <c r="I95" s="6">
        <f t="shared" si="23"/>
        <v>1.9069746070306195</v>
      </c>
      <c r="J95" s="6">
        <f t="shared" si="23"/>
        <v>8.8964252780520088</v>
      </c>
      <c r="K95" s="6">
        <f t="shared" si="23"/>
        <v>2.0834560837340526</v>
      </c>
      <c r="L95" s="6">
        <f t="shared" si="23"/>
        <v>4.8376778856158573</v>
      </c>
      <c r="M95" s="7">
        <f t="shared" si="23"/>
        <v>6.4616791309998396</v>
      </c>
      <c r="N95" s="19"/>
    </row>
    <row r="96" spans="1:14" x14ac:dyDescent="0.3">
      <c r="C96" s="20" t="s">
        <v>1</v>
      </c>
      <c r="D96" s="25" t="s">
        <v>53</v>
      </c>
      <c r="E96" s="5">
        <f t="shared" si="23"/>
        <v>1.0153846153846147</v>
      </c>
      <c r="F96" s="6">
        <f t="shared" si="23"/>
        <v>0.55064020365632838</v>
      </c>
      <c r="G96" s="6">
        <f t="shared" si="23"/>
        <v>0.62930308989294692</v>
      </c>
      <c r="H96" s="6">
        <f t="shared" si="23"/>
        <v>6.6961545806933618</v>
      </c>
      <c r="I96" s="6">
        <f t="shared" si="23"/>
        <v>4.0398875944670287</v>
      </c>
      <c r="J96" s="6">
        <f t="shared" si="23"/>
        <v>3.4892473908107</v>
      </c>
      <c r="K96" s="6">
        <f t="shared" si="23"/>
        <v>6.145514377037034</v>
      </c>
      <c r="L96" s="6">
        <f t="shared" si="23"/>
        <v>3.8038989357571733</v>
      </c>
      <c r="M96" s="7">
        <f t="shared" si="23"/>
        <v>6.4601659219835099</v>
      </c>
      <c r="N96" s="19"/>
    </row>
    <row r="97" spans="3:25" x14ac:dyDescent="0.3">
      <c r="C97" s="20" t="s">
        <v>10</v>
      </c>
      <c r="D97" s="25" t="str">
        <f>+D94</f>
        <v>Agr</v>
      </c>
      <c r="E97" s="5">
        <f t="shared" si="23"/>
        <v>8.9406593406593391</v>
      </c>
      <c r="F97" s="6">
        <f t="shared" si="23"/>
        <v>5.7154489850312844</v>
      </c>
      <c r="G97" s="6">
        <f t="shared" si="23"/>
        <v>5.1555176060127934</v>
      </c>
      <c r="H97" s="6">
        <f t="shared" si="23"/>
        <v>6.9325048127328959</v>
      </c>
      <c r="I97" s="6">
        <f t="shared" si="23"/>
        <v>9.48703657677002</v>
      </c>
      <c r="J97" s="6">
        <f t="shared" si="23"/>
        <v>8.4411398494283922</v>
      </c>
      <c r="K97" s="6">
        <f t="shared" si="23"/>
        <v>9.4870365767700218</v>
      </c>
      <c r="L97" s="6">
        <f t="shared" si="23"/>
        <v>9.2186844067454086</v>
      </c>
      <c r="M97" s="7">
        <f t="shared" si="23"/>
        <v>8.6355259887576494</v>
      </c>
      <c r="N97" s="19"/>
    </row>
    <row r="98" spans="3:25" x14ac:dyDescent="0.3">
      <c r="C98" s="20" t="s">
        <v>10</v>
      </c>
      <c r="D98" s="25" t="str">
        <f t="shared" ref="D98:D102" si="24">+D95</f>
        <v>Ind</v>
      </c>
      <c r="E98" s="5">
        <f t="shared" si="23"/>
        <v>3.9999999999999996</v>
      </c>
      <c r="F98" s="6">
        <f t="shared" si="23"/>
        <v>2.1367964423103176</v>
      </c>
      <c r="G98" s="6">
        <f t="shared" si="23"/>
        <v>3.060385444364929</v>
      </c>
      <c r="H98" s="6">
        <f t="shared" si="23"/>
        <v>6.0242314093294898</v>
      </c>
      <c r="I98" s="6">
        <f t="shared" si="23"/>
        <v>6.7740493484634436</v>
      </c>
      <c r="J98" s="6">
        <f t="shared" si="23"/>
        <v>4.0418981340597595</v>
      </c>
      <c r="K98" s="6">
        <f t="shared" si="23"/>
        <v>8.8336142072534702</v>
      </c>
      <c r="L98" s="6">
        <f t="shared" si="23"/>
        <v>2.1947201299505377</v>
      </c>
      <c r="M98" s="7">
        <f t="shared" si="23"/>
        <v>7.8521015175586406</v>
      </c>
      <c r="N98" s="19"/>
    </row>
    <row r="99" spans="3:25" x14ac:dyDescent="0.3">
      <c r="C99" s="20" t="s">
        <v>10</v>
      </c>
      <c r="D99" s="25" t="str">
        <f t="shared" si="24"/>
        <v>Serv</v>
      </c>
      <c r="E99" s="5">
        <f t="shared" si="23"/>
        <v>5.8769230769230765</v>
      </c>
      <c r="F99" s="6">
        <f t="shared" si="23"/>
        <v>4.355599928949994</v>
      </c>
      <c r="G99" s="6">
        <f t="shared" si="23"/>
        <v>3.6847127444895702</v>
      </c>
      <c r="H99" s="6">
        <f t="shared" si="23"/>
        <v>2.2560635283195505</v>
      </c>
      <c r="I99" s="6">
        <f t="shared" si="23"/>
        <v>7.8734520056649178</v>
      </c>
      <c r="J99" s="6">
        <f t="shared" si="23"/>
        <v>2.0092170400194296</v>
      </c>
      <c r="K99" s="6">
        <f t="shared" si="23"/>
        <v>1.6720511911082949</v>
      </c>
      <c r="L99" s="6">
        <f t="shared" si="23"/>
        <v>5.3602084489597095</v>
      </c>
      <c r="M99" s="7">
        <f t="shared" si="23"/>
        <v>2.0057725266575854</v>
      </c>
      <c r="N99" s="19"/>
    </row>
    <row r="100" spans="3:25" x14ac:dyDescent="0.3">
      <c r="C100" s="20" t="s">
        <v>11</v>
      </c>
      <c r="D100" s="25" t="str">
        <f t="shared" si="24"/>
        <v>Agr</v>
      </c>
      <c r="E100" s="5">
        <f t="shared" si="23"/>
        <v>3.9472527472527466</v>
      </c>
      <c r="F100" s="6">
        <f t="shared" si="23"/>
        <v>9.2710519775152953</v>
      </c>
      <c r="G100" s="6">
        <f t="shared" si="23"/>
        <v>7.9352046202235833</v>
      </c>
      <c r="H100" s="6">
        <f t="shared" si="23"/>
        <v>8.2575529400618706</v>
      </c>
      <c r="I100" s="6">
        <f t="shared" si="23"/>
        <v>9.2710519775152918</v>
      </c>
      <c r="J100" s="6">
        <f t="shared" si="23"/>
        <v>1.4686952749321467</v>
      </c>
      <c r="K100" s="6">
        <f t="shared" si="23"/>
        <v>7.0080994224720534</v>
      </c>
      <c r="L100" s="6">
        <f t="shared" si="23"/>
        <v>8.9487036576770009</v>
      </c>
      <c r="M100" s="7">
        <f t="shared" si="23"/>
        <v>7.676023101117913</v>
      </c>
      <c r="N100" s="19"/>
    </row>
    <row r="101" spans="3:25" x14ac:dyDescent="0.3">
      <c r="C101" s="20" t="s">
        <v>11</v>
      </c>
      <c r="D101" s="25" t="str">
        <f t="shared" si="24"/>
        <v>Ind</v>
      </c>
      <c r="E101" s="5">
        <f t="shared" si="23"/>
        <v>1.5835294117647047</v>
      </c>
      <c r="F101" s="6">
        <f t="shared" si="23"/>
        <v>7.1438825416032934</v>
      </c>
      <c r="G101" s="6">
        <f t="shared" si="23"/>
        <v>0.92929202447691617</v>
      </c>
      <c r="H101" s="6">
        <f t="shared" si="23"/>
        <v>8.1576273355801838</v>
      </c>
      <c r="I101" s="6">
        <f t="shared" si="23"/>
        <v>0.30705341879999226</v>
      </c>
      <c r="J101" s="6">
        <f t="shared" si="23"/>
        <v>1.0431302812345382</v>
      </c>
      <c r="K101" s="6">
        <f t="shared" si="23"/>
        <v>7.0590844576005907</v>
      </c>
      <c r="L101" s="6">
        <f t="shared" si="23"/>
        <v>8.9464062054008089</v>
      </c>
      <c r="M101" s="7">
        <f t="shared" si="23"/>
        <v>1.6650235724087352</v>
      </c>
      <c r="N101" s="19"/>
    </row>
    <row r="102" spans="3:25" x14ac:dyDescent="0.3">
      <c r="C102" s="20" t="s">
        <v>11</v>
      </c>
      <c r="D102" s="25" t="str">
        <f t="shared" si="24"/>
        <v>Serv</v>
      </c>
      <c r="E102" s="9">
        <f t="shared" si="23"/>
        <v>9.1076923076923055</v>
      </c>
      <c r="F102" s="10">
        <f t="shared" si="23"/>
        <v>2.1093334406842166</v>
      </c>
      <c r="G102" s="10">
        <f t="shared" si="23"/>
        <v>3.7037825350923863</v>
      </c>
      <c r="H102" s="10">
        <f t="shared" si="23"/>
        <v>9.0878282223056139</v>
      </c>
      <c r="I102" s="10">
        <f t="shared" si="23"/>
        <v>1.1155827502647682</v>
      </c>
      <c r="J102" s="10">
        <f t="shared" si="23"/>
        <v>0.51488434627604707</v>
      </c>
      <c r="K102" s="10">
        <f t="shared" si="23"/>
        <v>3.2069071898826622</v>
      </c>
      <c r="L102" s="10">
        <f t="shared" si="23"/>
        <v>0.85814057712674496</v>
      </c>
      <c r="M102" s="11">
        <f t="shared" si="23"/>
        <v>6.5674334941243524</v>
      </c>
      <c r="N102" s="19"/>
    </row>
    <row r="103" spans="3:25" x14ac:dyDescent="0.3">
      <c r="N103" s="19">
        <f>+SUM(E94:M102)</f>
        <v>406.84078793004676</v>
      </c>
    </row>
    <row r="104" spans="3:25" ht="15" thickBot="1" x14ac:dyDescent="0.35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25" ht="15" thickBot="1" x14ac:dyDescent="0.35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25" x14ac:dyDescent="0.3">
      <c r="C106" s="20" t="s">
        <v>1</v>
      </c>
      <c r="D106" s="28" t="s">
        <v>51</v>
      </c>
      <c r="E106" s="1">
        <f>+MAX(E94-E78,0)</f>
        <v>0.78834923318440087</v>
      </c>
      <c r="F106" s="2">
        <f t="shared" ref="F106:M106" si="25">+MAX(F94-F78,0)</f>
        <v>0.17591130650305242</v>
      </c>
      <c r="G106" s="2">
        <f t="shared" si="25"/>
        <v>0.34268842465120297</v>
      </c>
      <c r="H106" s="2">
        <f t="shared" si="25"/>
        <v>4.1779175112484634E-2</v>
      </c>
      <c r="I106" s="2">
        <f t="shared" si="25"/>
        <v>1.0149098172114235E-2</v>
      </c>
      <c r="J106" s="2">
        <f t="shared" si="25"/>
        <v>0.27384626677579949</v>
      </c>
      <c r="K106" s="2">
        <f t="shared" si="25"/>
        <v>0.10960642317067748</v>
      </c>
      <c r="L106" s="2">
        <f t="shared" si="25"/>
        <v>0.24475346437845591</v>
      </c>
      <c r="M106" s="3">
        <f t="shared" si="25"/>
        <v>7.5946526595884301E-2</v>
      </c>
      <c r="N106" s="53">
        <f>+SUM(E106:M106)</f>
        <v>2.0630299185440721</v>
      </c>
    </row>
    <row r="107" spans="3:25" x14ac:dyDescent="0.3">
      <c r="C107" s="20" t="s">
        <v>1</v>
      </c>
      <c r="D107" s="25" t="s">
        <v>52</v>
      </c>
      <c r="E107" s="5">
        <f t="shared" ref="E107:M114" si="26">+MAX(E95-E79,0)</f>
        <v>0.73084611264624488</v>
      </c>
      <c r="F107" s="6">
        <f t="shared" si="26"/>
        <v>0.16270818710700485</v>
      </c>
      <c r="G107" s="6">
        <f t="shared" si="26"/>
        <v>0.35135698843523411</v>
      </c>
      <c r="H107" s="6">
        <f t="shared" si="26"/>
        <v>0.21065227372842799</v>
      </c>
      <c r="I107" s="6">
        <f t="shared" si="26"/>
        <v>8.3812006059413857E-2</v>
      </c>
      <c r="J107" s="6">
        <f t="shared" si="26"/>
        <v>0.39100009332177166</v>
      </c>
      <c r="K107" s="6">
        <f t="shared" si="26"/>
        <v>9.1568410649339294E-2</v>
      </c>
      <c r="L107" s="6">
        <f t="shared" si="26"/>
        <v>0.21261714066243886</v>
      </c>
      <c r="M107" s="7">
        <f t="shared" si="26"/>
        <v>0.28399239742611737</v>
      </c>
      <c r="N107" s="8">
        <f t="shared" ref="N107:N114" si="27">+SUM(E107:M107)</f>
        <v>2.5185536100359931</v>
      </c>
    </row>
    <row r="108" spans="3:25" x14ac:dyDescent="0.3">
      <c r="C108" s="20" t="s">
        <v>1</v>
      </c>
      <c r="D108" s="25" t="s">
        <v>53</v>
      </c>
      <c r="E108" s="5">
        <f t="shared" si="26"/>
        <v>0.10005971036571248</v>
      </c>
      <c r="F108" s="6">
        <f t="shared" si="26"/>
        <v>2.4200773264234754E-2</v>
      </c>
      <c r="G108" s="6">
        <f t="shared" si="26"/>
        <v>2.7658026587696893E-2</v>
      </c>
      <c r="H108" s="6">
        <f t="shared" si="26"/>
        <v>0.29429765148563103</v>
      </c>
      <c r="I108" s="6">
        <f t="shared" si="26"/>
        <v>0.17755405986975825</v>
      </c>
      <c r="J108" s="6">
        <f t="shared" si="26"/>
        <v>0.15335328660552383</v>
      </c>
      <c r="K108" s="6">
        <f t="shared" si="26"/>
        <v>0.27009687822139661</v>
      </c>
      <c r="L108" s="6">
        <f t="shared" si="26"/>
        <v>0.16718229989937106</v>
      </c>
      <c r="M108" s="7">
        <f t="shared" si="26"/>
        <v>0.28392589151524739</v>
      </c>
      <c r="N108" s="8">
        <f t="shared" si="27"/>
        <v>1.4983285778145723</v>
      </c>
    </row>
    <row r="109" spans="3:25" x14ac:dyDescent="0.3">
      <c r="C109" s="20" t="s">
        <v>10</v>
      </c>
      <c r="D109" s="25" t="str">
        <f>+D106</f>
        <v>Agr</v>
      </c>
      <c r="E109" s="5">
        <f t="shared" si="26"/>
        <v>0.88104524192146982</v>
      </c>
      <c r="F109" s="6">
        <f t="shared" si="26"/>
        <v>0.25119539777805944</v>
      </c>
      <c r="G109" s="6">
        <f t="shared" si="26"/>
        <v>0.22658627505658391</v>
      </c>
      <c r="H109" s="6">
        <f t="shared" si="26"/>
        <v>0.30468530269336558</v>
      </c>
      <c r="I109" s="6">
        <f t="shared" si="26"/>
        <v>0.4169576061089959</v>
      </c>
      <c r="J109" s="6">
        <f t="shared" si="26"/>
        <v>0.37099018602574318</v>
      </c>
      <c r="K109" s="6">
        <f t="shared" si="26"/>
        <v>0.41695760610899768</v>
      </c>
      <c r="L109" s="6">
        <f t="shared" si="26"/>
        <v>0.4051634618045874</v>
      </c>
      <c r="M109" s="7">
        <f t="shared" si="26"/>
        <v>0.3795335049704569</v>
      </c>
      <c r="N109" s="8">
        <f t="shared" si="27"/>
        <v>3.6531145824682598</v>
      </c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3:25" x14ac:dyDescent="0.3">
      <c r="C110" s="20" t="s">
        <v>10</v>
      </c>
      <c r="D110" s="25" t="str">
        <f t="shared" ref="D110:D114" si="28">+D107</f>
        <v>Ind</v>
      </c>
      <c r="E110" s="5">
        <f t="shared" si="26"/>
        <v>0.39417461659220043</v>
      </c>
      <c r="F110" s="6">
        <f t="shared" si="26"/>
        <v>9.3912732613419259E-2</v>
      </c>
      <c r="G110" s="6">
        <f t="shared" si="26"/>
        <v>0.13450469789246622</v>
      </c>
      <c r="H110" s="6">
        <f t="shared" si="26"/>
        <v>0.2647664617664871</v>
      </c>
      <c r="I110" s="6">
        <f t="shared" si="26"/>
        <v>0.29772114581233744</v>
      </c>
      <c r="J110" s="6">
        <f t="shared" si="26"/>
        <v>0.17764242358257754</v>
      </c>
      <c r="K110" s="6">
        <f t="shared" si="26"/>
        <v>0.38823953121100274</v>
      </c>
      <c r="L110" s="6">
        <f t="shared" si="26"/>
        <v>9.6458493024484948E-2</v>
      </c>
      <c r="M110" s="7">
        <f t="shared" si="26"/>
        <v>0.3451018055208932</v>
      </c>
      <c r="N110" s="8">
        <f t="shared" si="27"/>
        <v>2.1925219080158689</v>
      </c>
    </row>
    <row r="111" spans="3:25" x14ac:dyDescent="0.3">
      <c r="C111" s="20" t="s">
        <v>10</v>
      </c>
      <c r="D111" s="25" t="str">
        <f t="shared" si="28"/>
        <v>Serv</v>
      </c>
      <c r="E111" s="5">
        <f t="shared" si="26"/>
        <v>0.5791334751470032</v>
      </c>
      <c r="F111" s="6">
        <f t="shared" si="26"/>
        <v>0.19142969512633812</v>
      </c>
      <c r="G111" s="6">
        <f t="shared" si="26"/>
        <v>0.16194403728806606</v>
      </c>
      <c r="H111" s="6">
        <f t="shared" si="26"/>
        <v>9.915455056864575E-2</v>
      </c>
      <c r="I111" s="6">
        <f t="shared" si="26"/>
        <v>0.34604016475857424</v>
      </c>
      <c r="J111" s="6">
        <f t="shared" si="26"/>
        <v>8.8305586299861627E-2</v>
      </c>
      <c r="K111" s="6">
        <f t="shared" si="26"/>
        <v>7.3487063773245875E-2</v>
      </c>
      <c r="L111" s="6">
        <f t="shared" si="26"/>
        <v>0.23558248827626826</v>
      </c>
      <c r="M111" s="7">
        <f t="shared" si="26"/>
        <v>8.8154199084903739E-2</v>
      </c>
      <c r="N111" s="8">
        <f t="shared" si="27"/>
        <v>1.8632312603229069</v>
      </c>
    </row>
    <row r="112" spans="3:25" x14ac:dyDescent="0.3">
      <c r="C112" s="20" t="s">
        <v>11</v>
      </c>
      <c r="D112" s="25" t="str">
        <f t="shared" si="28"/>
        <v>Agr</v>
      </c>
      <c r="E112" s="5">
        <f t="shared" si="26"/>
        <v>0.38897670956021591</v>
      </c>
      <c r="F112" s="6">
        <f t="shared" si="26"/>
        <v>0.4074650295037614</v>
      </c>
      <c r="G112" s="6">
        <f t="shared" si="26"/>
        <v>0.34875420745557495</v>
      </c>
      <c r="H112" s="6">
        <f t="shared" si="26"/>
        <v>0.36292149591128897</v>
      </c>
      <c r="I112" s="6">
        <f t="shared" si="26"/>
        <v>0.40746502950375962</v>
      </c>
      <c r="J112" s="6">
        <f t="shared" si="26"/>
        <v>6.4549520915603065E-2</v>
      </c>
      <c r="K112" s="6">
        <f t="shared" si="26"/>
        <v>0.30800770450519899</v>
      </c>
      <c r="L112" s="6">
        <f t="shared" si="26"/>
        <v>0.39329774104804471</v>
      </c>
      <c r="M112" s="7">
        <f t="shared" si="26"/>
        <v>0.33736311552929532</v>
      </c>
      <c r="N112" s="8">
        <f t="shared" si="27"/>
        <v>3.0188005539327429</v>
      </c>
    </row>
    <row r="113" spans="1:14" x14ac:dyDescent="0.3">
      <c r="C113" s="20" t="s">
        <v>11</v>
      </c>
      <c r="D113" s="25" t="str">
        <f t="shared" si="28"/>
        <v>Ind</v>
      </c>
      <c r="E113" s="5">
        <f t="shared" si="26"/>
        <v>0.15604677468620642</v>
      </c>
      <c r="F113" s="6">
        <f t="shared" si="26"/>
        <v>0.31397540620475795</v>
      </c>
      <c r="G113" s="6">
        <f t="shared" si="26"/>
        <v>4.084261452631599E-2</v>
      </c>
      <c r="H113" s="6">
        <f t="shared" si="26"/>
        <v>0.35852974085727318</v>
      </c>
      <c r="I113" s="6">
        <f t="shared" si="26"/>
        <v>1.3495073768759136E-2</v>
      </c>
      <c r="J113" s="6">
        <f t="shared" si="26"/>
        <v>4.5845834092002713E-2</v>
      </c>
      <c r="K113" s="6">
        <f t="shared" si="26"/>
        <v>0.31024850942068039</v>
      </c>
      <c r="L113" s="6">
        <f t="shared" si="26"/>
        <v>0.39319676745176046</v>
      </c>
      <c r="M113" s="7">
        <f t="shared" si="26"/>
        <v>7.317819819168081E-2</v>
      </c>
      <c r="N113" s="8">
        <f t="shared" si="27"/>
        <v>1.7053589191994369</v>
      </c>
    </row>
    <row r="114" spans="1:14" x14ac:dyDescent="0.3">
      <c r="C114" s="20" t="s">
        <v>11</v>
      </c>
      <c r="D114" s="25" t="str">
        <f t="shared" si="28"/>
        <v>Serv</v>
      </c>
      <c r="E114" s="9">
        <f t="shared" si="26"/>
        <v>0.8975052808560875</v>
      </c>
      <c r="F114" s="10">
        <f t="shared" si="26"/>
        <v>9.2705726893358875E-2</v>
      </c>
      <c r="G114" s="10">
        <f t="shared" si="26"/>
        <v>0.1627821593058747</v>
      </c>
      <c r="H114" s="10">
        <f t="shared" si="26"/>
        <v>0.39941230010440343</v>
      </c>
      <c r="I114" s="10">
        <f t="shared" si="26"/>
        <v>4.9030138041826099E-2</v>
      </c>
      <c r="J114" s="10">
        <f t="shared" si="26"/>
        <v>2.2629294480842999E-2</v>
      </c>
      <c r="K114" s="10">
        <f t="shared" si="26"/>
        <v>0.14094436488010853</v>
      </c>
      <c r="L114" s="10">
        <f t="shared" si="26"/>
        <v>3.7715490801404683E-2</v>
      </c>
      <c r="M114" s="11">
        <f t="shared" si="26"/>
        <v>0.28864032786542282</v>
      </c>
      <c r="N114" s="12">
        <f t="shared" si="27"/>
        <v>2.0913650832293298</v>
      </c>
    </row>
    <row r="115" spans="1:14" x14ac:dyDescent="0.3">
      <c r="C115" s="57"/>
      <c r="D115" s="57"/>
      <c r="N115" s="19">
        <f>+SUM(E106:M114)</f>
        <v>20.604304413563192</v>
      </c>
    </row>
    <row r="116" spans="1:14" x14ac:dyDescent="0.3">
      <c r="A116" s="66"/>
    </row>
    <row r="117" spans="1:14" x14ac:dyDescent="0.3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</row>
    <row r="118" spans="1:14" x14ac:dyDescent="0.3">
      <c r="A118" s="67"/>
      <c r="C118" s="20" t="s">
        <v>1</v>
      </c>
      <c r="D118" s="28" t="s">
        <v>51</v>
      </c>
      <c r="E118" s="53">
        <f t="shared" ref="E118:E126" si="29">+MAX(F60-H47-SUM(E78:M78),0)</f>
        <v>1.8602197802197935</v>
      </c>
      <c r="F118" s="53" cm="1">
        <f t="array" ref="F118">+E118/_xlfn.XLOOKUP(D118,_xlfn.ANCHORARRAY($I$118),$K$118:$K$120,,0)</f>
        <v>0.21296296296296396</v>
      </c>
      <c r="G118" s="53" cm="1">
        <f t="array" ref="G118">+E118/_xlfn.XLOOKUP(D118,_xlfn.ANCHORARRAY($I$118),$J$118:$J$120,,0)</f>
        <v>0.21296296296296371</v>
      </c>
      <c r="I118" s="54" t="str" cm="1">
        <f t="array" ref="I118:I120">+_xlfn.UNIQUE(D118:D126)</f>
        <v>Agr</v>
      </c>
      <c r="J118" s="58">
        <f>+SUMIF($D$118:$D$126,I118,$E$118:$E$126)</f>
        <v>8.7349450549450864</v>
      </c>
      <c r="K118" s="40">
        <f>+SUMIF($D$106:$D$114,I118,$N$106:$N$114)</f>
        <v>8.7349450549450758</v>
      </c>
      <c r="L118" s="40">
        <f>+J118/K118</f>
        <v>1.0000000000000011</v>
      </c>
      <c r="M118" s="18"/>
    </row>
    <row r="119" spans="1:14" x14ac:dyDescent="0.3">
      <c r="C119" s="20" t="s">
        <v>1</v>
      </c>
      <c r="D119" s="25" t="s">
        <v>52</v>
      </c>
      <c r="E119" s="8">
        <f t="shared" si="29"/>
        <v>2.4263736263736391</v>
      </c>
      <c r="F119" s="8" cm="1">
        <f t="array" ref="F119">+E119/_xlfn.XLOOKUP(D119,_xlfn.ANCHORARRAY($I$118),$K$118:$K$120,,0)</f>
        <v>0.37814983541124747</v>
      </c>
      <c r="G119" s="8" cm="1">
        <f t="array" ref="G119">+E119/_xlfn.XLOOKUP(D119,_xlfn.ANCHORARRAY($I$118),$J$118:$J$120,,0)</f>
        <v>0.3692307692307697</v>
      </c>
      <c r="I119" s="55" t="str">
        <v>Ind</v>
      </c>
      <c r="J119" s="59">
        <f t="shared" ref="J119:J120" si="30">+SUMIF($D$118:$D$126,I119,$E$118:$E$126)</f>
        <v>6.5714285714285978</v>
      </c>
      <c r="K119" s="41">
        <f t="shared" ref="K119:K120" si="31">+SUMIF($D$106:$D$114,I119,$N$106:$N$114)</f>
        <v>6.4164344372512989</v>
      </c>
      <c r="L119" s="41">
        <f t="shared" ref="L119:L120" si="32">+J119/K119</f>
        <v>1.0241558042387939</v>
      </c>
      <c r="M119" s="18"/>
    </row>
    <row r="120" spans="1:14" x14ac:dyDescent="0.3">
      <c r="C120" s="20" t="s">
        <v>1</v>
      </c>
      <c r="D120" s="25" t="s">
        <v>53</v>
      </c>
      <c r="E120" s="8">
        <f t="shared" si="29"/>
        <v>1.6681318681318729</v>
      </c>
      <c r="F120" s="8" cm="1">
        <f t="array" ref="F120">+E120/_xlfn.XLOOKUP(D120,_xlfn.ANCHORARRAY($I$118),$K$118:$K$120,,0)</f>
        <v>0.30591506250075884</v>
      </c>
      <c r="G120" s="8" cm="1">
        <f t="array" ref="G120">+E120/_xlfn.XLOOKUP(D120,_xlfn.ANCHORARRAY($I$118),$J$118:$J$120,,0)</f>
        <v>0.31730769230769174</v>
      </c>
      <c r="I120" s="56" t="str">
        <v>Serv</v>
      </c>
      <c r="J120" s="60">
        <f t="shared" si="30"/>
        <v>5.2571428571428811</v>
      </c>
      <c r="K120" s="42">
        <f t="shared" si="31"/>
        <v>5.452924921366809</v>
      </c>
      <c r="L120" s="42">
        <f t="shared" si="32"/>
        <v>0.96409595454784769</v>
      </c>
      <c r="M120" s="18"/>
    </row>
    <row r="121" spans="1:14" x14ac:dyDescent="0.3">
      <c r="C121" s="20" t="s">
        <v>10</v>
      </c>
      <c r="D121" s="25" t="str">
        <f>+D118</f>
        <v>Agr</v>
      </c>
      <c r="E121" s="8">
        <f t="shared" si="29"/>
        <v>3.6395604395604551</v>
      </c>
      <c r="F121" s="8" cm="1">
        <f t="array" ref="F121">+E121/_xlfn.XLOOKUP(D121,_xlfn.ANCHORARRAY($I$118),$K$118:$K$120,,0)</f>
        <v>0.41666666666666746</v>
      </c>
      <c r="G121" s="8" cm="1">
        <f t="array" ref="G121">+E121/_xlfn.XLOOKUP(D121,_xlfn.ANCHORARRAY($I$118),$J$118:$J$120,,0)</f>
        <v>0.41666666666666696</v>
      </c>
    </row>
    <row r="122" spans="1:14" x14ac:dyDescent="0.3">
      <c r="C122" s="20" t="s">
        <v>10</v>
      </c>
      <c r="D122" s="25" t="str">
        <f t="shared" ref="D122:D126" si="33">+D119</f>
        <v>Ind</v>
      </c>
      <c r="E122" s="8">
        <f t="shared" si="29"/>
        <v>2.2747252747252773</v>
      </c>
      <c r="F122" s="8" cm="1">
        <f t="array" ref="F122">+E122/_xlfn.XLOOKUP(D122,_xlfn.ANCHORARRAY($I$118),$K$118:$K$120,,0)</f>
        <v>0.35451547069804307</v>
      </c>
      <c r="G122" s="8" cm="1">
        <f t="array" ref="G122">+E122/_xlfn.XLOOKUP(D122,_xlfn.ANCHORARRAY($I$118),$J$118:$J$120,,0)</f>
        <v>0.34615384615384515</v>
      </c>
      <c r="I122" s="20" t="s">
        <v>39</v>
      </c>
    </row>
    <row r="123" spans="1:14" x14ac:dyDescent="0.3">
      <c r="C123" s="20" t="s">
        <v>10</v>
      </c>
      <c r="D123" s="25" t="str">
        <f t="shared" si="33"/>
        <v>Serv</v>
      </c>
      <c r="E123" s="8">
        <f t="shared" si="29"/>
        <v>1.7692307692307807</v>
      </c>
      <c r="F123" s="8" cm="1">
        <f t="array" ref="F123">+E123/_xlfn.XLOOKUP(D123,_xlfn.ANCHORARRAY($I$118),$K$118:$K$120,,0)</f>
        <v>0.32445536931898783</v>
      </c>
      <c r="G123" s="8" cm="1">
        <f t="array" ref="G123">+E123/_xlfn.XLOOKUP(D123,_xlfn.ANCHORARRAY($I$118),$J$118:$J$120,,0)</f>
        <v>0.33653846153846217</v>
      </c>
      <c r="I123" s="69">
        <v>1</v>
      </c>
    </row>
    <row r="124" spans="1:14" x14ac:dyDescent="0.3">
      <c r="C124" s="20" t="s">
        <v>11</v>
      </c>
      <c r="D124" s="25" t="str">
        <f t="shared" si="33"/>
        <v>Agr</v>
      </c>
      <c r="E124" s="8">
        <f t="shared" si="29"/>
        <v>3.2351648351648379</v>
      </c>
      <c r="F124" s="8" cm="1">
        <f t="array" ref="F124">+E124/_xlfn.XLOOKUP(D124,_xlfn.ANCHORARRAY($I$118),$K$118:$K$120,,0)</f>
        <v>0.37037037037036979</v>
      </c>
      <c r="G124" s="8" cm="1">
        <f t="array" ref="G124">+E124/_xlfn.XLOOKUP(D124,_xlfn.ANCHORARRAY($I$118),$J$118:$J$120,,0)</f>
        <v>0.37037037037036935</v>
      </c>
    </row>
    <row r="125" spans="1:14" x14ac:dyDescent="0.3">
      <c r="C125" s="20" t="s">
        <v>11</v>
      </c>
      <c r="D125" s="25" t="str">
        <f t="shared" si="33"/>
        <v>Ind</v>
      </c>
      <c r="E125" s="8">
        <f t="shared" si="29"/>
        <v>1.8703296703296814</v>
      </c>
      <c r="F125" s="8" cm="1">
        <f t="array" ref="F125">+E125/_xlfn.XLOOKUP(D125,_xlfn.ANCHORARRAY($I$118),$K$118:$K$120,,0)</f>
        <v>0.29149049812950345</v>
      </c>
      <c r="G125" s="8" cm="1">
        <f t="array" ref="G125">+E125/_xlfn.XLOOKUP(D125,_xlfn.ANCHORARRAY($I$118),$J$118:$J$120,,0)</f>
        <v>0.28461538461538516</v>
      </c>
    </row>
    <row r="126" spans="1:14" x14ac:dyDescent="0.3">
      <c r="C126" s="20" t="s">
        <v>11</v>
      </c>
      <c r="D126" s="25" t="str">
        <f t="shared" si="33"/>
        <v>Serv</v>
      </c>
      <c r="E126" s="12">
        <f t="shared" si="29"/>
        <v>1.8197802197802275</v>
      </c>
      <c r="F126" s="12" cm="1">
        <f t="array" ref="F126">+E126/_xlfn.XLOOKUP(D126,_xlfn.ANCHORARRAY($I$118),$K$118:$K$120,,0)</f>
        <v>0.33372552272810102</v>
      </c>
      <c r="G126" s="12" cm="1">
        <f t="array" ref="G126">+E126/_xlfn.XLOOKUP(D126,_xlfn.ANCHORARRAY($I$118),$J$118:$J$120,,0)</f>
        <v>0.34615384615384603</v>
      </c>
    </row>
    <row r="127" spans="1:14" x14ac:dyDescent="0.3">
      <c r="E127" s="19">
        <f>SUM(E118:E126)</f>
        <v>20.563516483516565</v>
      </c>
      <c r="G127" s="19">
        <f>SUM(G118:G126)</f>
        <v>3</v>
      </c>
    </row>
    <row r="128" spans="1:14" x14ac:dyDescent="0.3">
      <c r="A128" s="64"/>
      <c r="E128" s="19"/>
      <c r="G128" s="19"/>
    </row>
    <row r="129" spans="1:24" ht="15" thickBot="1" x14ac:dyDescent="0.35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</row>
    <row r="130" spans="1:24" ht="15" thickBot="1" x14ac:dyDescent="0.35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</row>
    <row r="131" spans="1:24" x14ac:dyDescent="0.3">
      <c r="D131" s="28" t="str" cm="1">
        <f t="array" ref="D131:D133">+_xlfn.UNIQUE(D118:D126)</f>
        <v>Agr</v>
      </c>
      <c r="E131" s="1">
        <f t="shared" ref="E131:M133" si="34">+SUMIF($D$106:$D$114,$D131,E$106:E$114)</f>
        <v>2.0583711846660866</v>
      </c>
      <c r="F131" s="2">
        <f t="shared" si="34"/>
        <v>0.83457173378487326</v>
      </c>
      <c r="G131" s="2">
        <f t="shared" si="34"/>
        <v>0.91802890716336183</v>
      </c>
      <c r="H131" s="2">
        <f t="shared" si="34"/>
        <v>0.70938597371713918</v>
      </c>
      <c r="I131" s="2">
        <f t="shared" si="34"/>
        <v>0.83457173378486971</v>
      </c>
      <c r="J131" s="2">
        <f t="shared" si="34"/>
        <v>0.70938597371714573</v>
      </c>
      <c r="K131" s="2">
        <f t="shared" si="34"/>
        <v>0.83457173378487415</v>
      </c>
      <c r="L131" s="2">
        <f t="shared" si="34"/>
        <v>1.043214667231088</v>
      </c>
      <c r="M131" s="3">
        <f t="shared" si="34"/>
        <v>0.79284314709563652</v>
      </c>
    </row>
    <row r="132" spans="1:24" x14ac:dyDescent="0.3">
      <c r="D132" s="25" t="str">
        <v>Ind</v>
      </c>
      <c r="E132" s="5">
        <f t="shared" si="34"/>
        <v>1.2810675039246517</v>
      </c>
      <c r="F132" s="6">
        <f t="shared" si="34"/>
        <v>0.57059632592518206</v>
      </c>
      <c r="G132" s="6">
        <f t="shared" si="34"/>
        <v>0.52670430085401632</v>
      </c>
      <c r="H132" s="6">
        <f t="shared" si="34"/>
        <v>0.83394847635218827</v>
      </c>
      <c r="I132" s="6">
        <f t="shared" si="34"/>
        <v>0.39502822564051043</v>
      </c>
      <c r="J132" s="6">
        <f t="shared" si="34"/>
        <v>0.61448835099635191</v>
      </c>
      <c r="K132" s="6">
        <f t="shared" si="34"/>
        <v>0.79005645128102242</v>
      </c>
      <c r="L132" s="6">
        <f t="shared" si="34"/>
        <v>0.70227240113868428</v>
      </c>
      <c r="M132" s="7">
        <f t="shared" si="34"/>
        <v>0.70227240113869138</v>
      </c>
    </row>
    <row r="133" spans="1:24" x14ac:dyDescent="0.3">
      <c r="D133" s="25" t="str">
        <v>Serv</v>
      </c>
      <c r="E133" s="9">
        <f t="shared" si="34"/>
        <v>1.5766984663688031</v>
      </c>
      <c r="F133" s="10">
        <f t="shared" si="34"/>
        <v>0.30833619528393175</v>
      </c>
      <c r="G133" s="10">
        <f t="shared" si="34"/>
        <v>0.35238422318163765</v>
      </c>
      <c r="H133" s="10">
        <f t="shared" si="34"/>
        <v>0.79286450215868021</v>
      </c>
      <c r="I133" s="10">
        <f t="shared" si="34"/>
        <v>0.57262436267015859</v>
      </c>
      <c r="J133" s="10">
        <f t="shared" si="34"/>
        <v>0.26428816738622846</v>
      </c>
      <c r="K133" s="10">
        <f t="shared" si="34"/>
        <v>0.48452830687475101</v>
      </c>
      <c r="L133" s="10">
        <f t="shared" si="34"/>
        <v>0.440480278977044</v>
      </c>
      <c r="M133" s="11">
        <f t="shared" si="34"/>
        <v>0.66072041846557394</v>
      </c>
      <c r="O133" s="19"/>
    </row>
    <row r="135" spans="1:24" ht="15" thickBot="1" x14ac:dyDescent="0.35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</row>
    <row r="136" spans="1:24" ht="15" thickBot="1" x14ac:dyDescent="0.35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</row>
    <row r="137" spans="1:24" x14ac:dyDescent="0.3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0.43835682636407608</v>
      </c>
      <c r="F137" s="2" cm="1">
        <f t="array" ref="F137">+$I$123*$G118*_xlfn.XLOOKUP($D137,_xlfn.ANCHORARRAY($I$118),$L$118:$L$120,,0)*_xlfn.XLOOKUP($D137,$D$131:$D$133,F$131:F$133,,0)</f>
        <v>0.17773286923196457</v>
      </c>
      <c r="G137" s="2" cm="1">
        <f t="array" ref="G137">+$I$123*$G118*_xlfn.XLOOKUP($D137,_xlfn.ANCHORARRAY($I$118),$L$118:$L$120,,0)*_xlfn.XLOOKUP($D137,$D$131:$D$133,G$131:G$133,,0)</f>
        <v>0.19550615615516131</v>
      </c>
      <c r="H137" s="2" cm="1">
        <f t="array" ref="H137">+$I$123*$G118*_xlfn.XLOOKUP($D137,_xlfn.ANCHORARRAY($I$118),$L$118:$L$120,,0)*_xlfn.XLOOKUP($D137,$D$131:$D$133,H$131:H$133,,0)</f>
        <v>0.15107293884716924</v>
      </c>
      <c r="I137" s="2" cm="1">
        <f t="array" ref="I137">+$I$123*$G118*_xlfn.XLOOKUP($D137,_xlfn.ANCHORARRAY($I$118),$L$118:$L$120,,0)*_xlfn.XLOOKUP($D137,$D$131:$D$133,I$131:I$133,,0)</f>
        <v>0.17773286923196382</v>
      </c>
      <c r="J137" s="2" cm="1">
        <f t="array" ref="J137">+$I$123*$G118*_xlfn.XLOOKUP($D137,_xlfn.ANCHORARRAY($I$118),$L$118:$L$120,,0)*_xlfn.XLOOKUP($D137,$D$131:$D$133,J$131:J$133,,0)</f>
        <v>0.15107293884717063</v>
      </c>
      <c r="K137" s="2" cm="1">
        <f t="array" ref="K137">+$I$123*$G118*_xlfn.XLOOKUP($D137,_xlfn.ANCHORARRAY($I$118),$L$118:$L$120,,0)*_xlfn.XLOOKUP($D137,$D$131:$D$133,K$131:K$133,,0)</f>
        <v>0.17773286923196477</v>
      </c>
      <c r="L137" s="2" cm="1">
        <f t="array" ref="L137">+$I$123*$G118*_xlfn.XLOOKUP($D137,_xlfn.ANCHORARRAY($I$118),$L$118:$L$120,,0)*_xlfn.XLOOKUP($D137,$D$131:$D$133,L$131:L$133,,0)</f>
        <v>0.22216608653995498</v>
      </c>
      <c r="M137" s="3" cm="1">
        <f t="array" ref="M137">+$I$123*$G118*_xlfn.XLOOKUP($D137,_xlfn.ANCHORARRAY($I$118),$L$118:$L$120,,0)*_xlfn.XLOOKUP($D137,$D$131:$D$133,M$131:M$133,,0)</f>
        <v>0.16884622577036784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x14ac:dyDescent="0.3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0.48443546575980467</v>
      </c>
      <c r="F138" s="6" cm="1">
        <f t="array" ref="F138">+$I$123*$G119*_xlfn.XLOOKUP($D138,_xlfn.ANCHORARRAY($I$118),$L$118:$L$120,,0)*_xlfn.XLOOKUP($D138,$D$131:$D$133,F$131:F$133,,0)</f>
        <v>0.21577090673487012</v>
      </c>
      <c r="G138" s="6" cm="1">
        <f t="array" ref="G138">+$I$123*$G119*_xlfn.XLOOKUP($D138,_xlfn.ANCHORARRAY($I$118),$L$118:$L$120,,0)*_xlfn.XLOOKUP($D138,$D$131:$D$133,G$131:G$133,,0)</f>
        <v>0.19917314467834243</v>
      </c>
      <c r="H138" s="6" cm="1">
        <f t="array" ref="H138">+$I$123*$G119*_xlfn.XLOOKUP($D138,_xlfn.ANCHORARRAY($I$118),$L$118:$L$120,,0)*_xlfn.XLOOKUP($D138,$D$131:$D$133,H$131:H$133,,0)</f>
        <v>0.3153574790740406</v>
      </c>
      <c r="I138" s="6" cm="1">
        <f t="array" ref="I138">+$I$123*$G119*_xlfn.XLOOKUP($D138,_xlfn.ANCHORARRAY($I$118),$L$118:$L$120,,0)*_xlfn.XLOOKUP($D138,$D$131:$D$133,I$131:I$133,,0)</f>
        <v>0.14937985850875615</v>
      </c>
      <c r="J138" s="6" cm="1">
        <f t="array" ref="J138">+$I$123*$G119*_xlfn.XLOOKUP($D138,_xlfn.ANCHORARRAY($I$118),$L$118:$L$120,,0)*_xlfn.XLOOKUP($D138,$D$131:$D$133,J$131:J$133,,0)</f>
        <v>0.23236866879139934</v>
      </c>
      <c r="K138" s="6" cm="1">
        <f t="array" ref="K138">+$I$123*$G119*_xlfn.XLOOKUP($D138,_xlfn.ANCHORARRAY($I$118),$L$118:$L$120,,0)*_xlfn.XLOOKUP($D138,$D$131:$D$133,K$131:K$133,,0)</f>
        <v>0.29875971701751286</v>
      </c>
      <c r="L138" s="6" cm="1">
        <f t="array" ref="L138">+$I$123*$G119*_xlfn.XLOOKUP($D138,_xlfn.ANCHORARRAY($I$118),$L$118:$L$120,,0)*_xlfn.XLOOKUP($D138,$D$131:$D$133,L$131:L$133,,0)</f>
        <v>0.26556419290445504</v>
      </c>
      <c r="M138" s="7" cm="1">
        <f t="array" ref="M138">+$I$123*$G119*_xlfn.XLOOKUP($D138,_xlfn.ANCHORARRAY($I$118),$L$118:$L$120,,0)*_xlfn.XLOOKUP($D138,$D$131:$D$133,M$131:M$133,,0)</f>
        <v>0.26556419290445771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x14ac:dyDescent="0.3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0.48233580988406299</v>
      </c>
      <c r="F139" s="6" cm="1">
        <f t="array" ref="F139">+$I$123*$G120*_xlfn.XLOOKUP($D139,_xlfn.ANCHORARRAY($I$118),$L$118:$L$120,,0)*_xlfn.XLOOKUP($D139,$D$131:$D$133,F$131:F$133,,0)</f>
        <v>9.4324686451530165E-2</v>
      </c>
      <c r="G139" s="6" cm="1">
        <f t="array" ref="G139">+$I$123*$G120*_xlfn.XLOOKUP($D139,_xlfn.ANCHORARRAY($I$118),$L$118:$L$120,,0)*_xlfn.XLOOKUP($D139,$D$131:$D$133,G$131:G$133,,0)</f>
        <v>0.10779964165889203</v>
      </c>
      <c r="H139" s="6" cm="1">
        <f t="array" ref="H139">+$I$123*$G120*_xlfn.XLOOKUP($D139,_xlfn.ANCHORARRAY($I$118),$L$118:$L$120,,0)*_xlfn.XLOOKUP($D139,$D$131:$D$133,H$131:H$133,,0)</f>
        <v>0.24254919373250569</v>
      </c>
      <c r="I139" s="6" cm="1">
        <f t="array" ref="I139">+$I$123*$G120*_xlfn.XLOOKUP($D139,_xlfn.ANCHORARRAY($I$118),$L$118:$L$120,,0)*_xlfn.XLOOKUP($D139,$D$131:$D$133,I$131:I$133,,0)</f>
        <v>0.17517441769569878</v>
      </c>
      <c r="J139" s="6" cm="1">
        <f t="array" ref="J139">+$I$123*$G120*_xlfn.XLOOKUP($D139,_xlfn.ANCHORARRAY($I$118),$L$118:$L$120,,0)*_xlfn.XLOOKUP($D139,$D$131:$D$133,J$131:J$133,,0)</f>
        <v>8.0849731244169096E-2</v>
      </c>
      <c r="K139" s="6" cm="1">
        <f t="array" ref="K139">+$I$123*$G120*_xlfn.XLOOKUP($D139,_xlfn.ANCHORARRAY($I$118),$L$118:$L$120,,0)*_xlfn.XLOOKUP($D139,$D$131:$D$133,K$131:K$133,,0)</f>
        <v>0.1482245072809763</v>
      </c>
      <c r="L139" s="6" cm="1">
        <f t="array" ref="L139">+$I$123*$G120*_xlfn.XLOOKUP($D139,_xlfn.ANCHORARRAY($I$118),$L$118:$L$120,,0)*_xlfn.XLOOKUP($D139,$D$131:$D$133,L$131:L$133,,0)</f>
        <v>0.13474955207361411</v>
      </c>
      <c r="M139" s="7" cm="1">
        <f t="array" ref="M139">+$I$123*$G120*_xlfn.XLOOKUP($D139,_xlfn.ANCHORARRAY($I$118),$L$118:$L$120,,0)*_xlfn.XLOOKUP($D139,$D$131:$D$133,M$131:M$133,,0)</f>
        <v>0.20212432811042358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x14ac:dyDescent="0.3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0.85765466027753756</v>
      </c>
      <c r="F140" s="6" cm="1">
        <f t="array" ref="F140">+$I$123*$G121*_xlfn.XLOOKUP($D140,_xlfn.ANCHORARRAY($I$118),$L$118:$L$120,,0)*_xlfn.XLOOKUP($D140,$D$131:$D$133,F$131:F$133,,0)</f>
        <v>0.34773822241036445</v>
      </c>
      <c r="G140" s="6" cm="1">
        <f t="array" ref="G140">+$I$123*$G121*_xlfn.XLOOKUP($D140,_xlfn.ANCHORARRAY($I$118),$L$118:$L$120,,0)*_xlfn.XLOOKUP($D140,$D$131:$D$133,G$131:G$133,,0)</f>
        <v>0.38251204465140143</v>
      </c>
      <c r="H140" s="6" cm="1">
        <f t="array" ref="H140">+$I$123*$G121*_xlfn.XLOOKUP($D140,_xlfn.ANCHORARRAY($I$118),$L$118:$L$120,,0)*_xlfn.XLOOKUP($D140,$D$131:$D$133,H$131:H$133,,0)</f>
        <v>0.29557748904880854</v>
      </c>
      <c r="I140" s="6" cm="1">
        <f t="array" ref="I140">+$I$123*$G121*_xlfn.XLOOKUP($D140,_xlfn.ANCHORARRAY($I$118),$L$118:$L$120,,0)*_xlfn.XLOOKUP($D140,$D$131:$D$133,I$131:I$133,,0)</f>
        <v>0.34773822241036301</v>
      </c>
      <c r="J140" s="6" cm="1">
        <f t="array" ref="J140">+$I$123*$G121*_xlfn.XLOOKUP($D140,_xlfn.ANCHORARRAY($I$118),$L$118:$L$120,,0)*_xlfn.XLOOKUP($D140,$D$131:$D$133,J$131:J$133,,0)</f>
        <v>0.29557748904881126</v>
      </c>
      <c r="K140" s="6" cm="1">
        <f t="array" ref="K140">+$I$123*$G121*_xlfn.XLOOKUP($D140,_xlfn.ANCHORARRAY($I$118),$L$118:$L$120,,0)*_xlfn.XLOOKUP($D140,$D$131:$D$133,K$131:K$133,,0)</f>
        <v>0.34773822241036484</v>
      </c>
      <c r="L140" s="6" cm="1">
        <f t="array" ref="L140">+$I$123*$G121*_xlfn.XLOOKUP($D140,_xlfn.ANCHORARRAY($I$118),$L$118:$L$120,,0)*_xlfn.XLOOKUP($D140,$D$131:$D$133,L$131:L$133,,0)</f>
        <v>0.43467277801295412</v>
      </c>
      <c r="M140" s="7" cm="1">
        <f t="array" ref="M140">+$I$123*$G121*_xlfn.XLOOKUP($D140,_xlfn.ANCHORARRAY($I$118),$L$118:$L$120,,0)*_xlfn.XLOOKUP($D140,$D$131:$D$133,M$131:M$133,,0)</f>
        <v>0.33035131128984913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x14ac:dyDescent="0.3">
      <c r="C141" s="20" t="s">
        <v>10</v>
      </c>
      <c r="D141" s="25" t="str">
        <f t="shared" ref="D141:D145" si="35">+D138</f>
        <v>Ind</v>
      </c>
      <c r="E141" s="5" cm="1">
        <f t="array" ref="E141">+$I$123*$G122*_xlfn.XLOOKUP($D141,_xlfn.ANCHORARRAY($I$118),$L$118:$L$120,,0)*_xlfn.XLOOKUP($D141,$D$131:$D$133,E$131:E$133,,0)</f>
        <v>0.45415824914981495</v>
      </c>
      <c r="F141" s="6" cm="1">
        <f t="array" ref="F141">+$I$123*$G122*_xlfn.XLOOKUP($D141,_xlfn.ANCHORARRAY($I$118),$L$118:$L$120,,0)*_xlfn.XLOOKUP($D141,$D$131:$D$133,F$131:F$133,,0)</f>
        <v>0.20228522506393987</v>
      </c>
      <c r="G141" s="6" cm="1">
        <f t="array" ref="G141">+$I$123*$G122*_xlfn.XLOOKUP($D141,_xlfn.ANCHORARRAY($I$118),$L$118:$L$120,,0)*_xlfn.XLOOKUP($D141,$D$131:$D$133,G$131:G$133,,0)</f>
        <v>0.18672482313594524</v>
      </c>
      <c r="H141" s="6" cm="1">
        <f t="array" ref="H141">+$I$123*$G122*_xlfn.XLOOKUP($D141,_xlfn.ANCHORARRAY($I$118),$L$118:$L$120,,0)*_xlfn.XLOOKUP($D141,$D$131:$D$133,H$131:H$133,,0)</f>
        <v>0.29564763663191179</v>
      </c>
      <c r="I141" s="6" cm="1">
        <f t="array" ref="I141">+$I$123*$G122*_xlfn.XLOOKUP($D141,_xlfn.ANCHORARRAY($I$118),$L$118:$L$120,,0)*_xlfn.XLOOKUP($D141,$D$131:$D$133,I$131:I$133,,0)</f>
        <v>0.1400436173519583</v>
      </c>
      <c r="J141" s="6" cm="1">
        <f t="array" ref="J141">+$I$123*$G122*_xlfn.XLOOKUP($D141,_xlfn.ANCHORARRAY($I$118),$L$118:$L$120,,0)*_xlfn.XLOOKUP($D141,$D$131:$D$133,J$131:J$133,,0)</f>
        <v>0.21784562699193596</v>
      </c>
      <c r="K141" s="6" cm="1">
        <f t="array" ref="K141">+$I$123*$G122*_xlfn.XLOOKUP($D141,_xlfn.ANCHORARRAY($I$118),$L$118:$L$120,,0)*_xlfn.XLOOKUP($D141,$D$131:$D$133,K$131:K$133,,0)</f>
        <v>0.28008723470391717</v>
      </c>
      <c r="L141" s="6" cm="1">
        <f t="array" ref="L141">+$I$123*$G122*_xlfn.XLOOKUP($D141,_xlfn.ANCHORARRAY($I$118),$L$118:$L$120,,0)*_xlfn.XLOOKUP($D141,$D$131:$D$133,L$131:L$133,,0)</f>
        <v>0.24896643084792552</v>
      </c>
      <c r="M141" s="7" cm="1">
        <f t="array" ref="M141">+$I$123*$G122*_xlfn.XLOOKUP($D141,_xlfn.ANCHORARRAY($I$118),$L$118:$L$120,,0)*_xlfn.XLOOKUP($D141,$D$131:$D$133,M$131:M$133,,0)</f>
        <v>0.24896643084792805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x14ac:dyDescent="0.3">
      <c r="C142" s="20" t="s">
        <v>10</v>
      </c>
      <c r="D142" s="25" t="str">
        <f t="shared" si="35"/>
        <v>Serv</v>
      </c>
      <c r="E142" s="5" cm="1">
        <f t="array" ref="E142">+$I$123*$G123*_xlfn.XLOOKUP($D142,_xlfn.ANCHORARRAY($I$118),$L$118:$L$120,,0)*_xlfn.XLOOKUP($D142,$D$131:$D$133,E$131:E$133,,0)</f>
        <v>0.51156828321037173</v>
      </c>
      <c r="F142" s="6" cm="1">
        <f t="array" ref="F142">+$I$123*$G123*_xlfn.XLOOKUP($D142,_xlfn.ANCHORARRAY($I$118),$L$118:$L$120,,0)*_xlfn.XLOOKUP($D142,$D$131:$D$133,F$131:F$133,,0)</f>
        <v>0.10004133411525963</v>
      </c>
      <c r="G142" s="6" cm="1">
        <f t="array" ref="G142">+$I$123*$G123*_xlfn.XLOOKUP($D142,_xlfn.ANCHORARRAY($I$118),$L$118:$L$120,,0)*_xlfn.XLOOKUP($D142,$D$131:$D$133,G$131:G$133,,0)</f>
        <v>0.11433295327458287</v>
      </c>
      <c r="H142" s="6" cm="1">
        <f t="array" ref="H142">+$I$123*$G123*_xlfn.XLOOKUP($D142,_xlfn.ANCHORARRAY($I$118),$L$118:$L$120,,0)*_xlfn.XLOOKUP($D142,$D$131:$D$133,H$131:H$133,,0)</f>
        <v>0.25724914486781003</v>
      </c>
      <c r="I142" s="6" cm="1">
        <f t="array" ref="I142">+$I$123*$G123*_xlfn.XLOOKUP($D142,_xlfn.ANCHORARRAY($I$118),$L$118:$L$120,,0)*_xlfn.XLOOKUP($D142,$D$131:$D$133,I$131:I$133,,0)</f>
        <v>0.18579104907119634</v>
      </c>
      <c r="J142" s="6" cm="1">
        <f t="array" ref="J142">+$I$123*$G123*_xlfn.XLOOKUP($D142,_xlfn.ANCHORARRAY($I$118),$L$118:$L$120,,0)*_xlfn.XLOOKUP($D142,$D$131:$D$133,J$131:J$133,,0)</f>
        <v>8.5749714955937223E-2</v>
      </c>
      <c r="K142" s="6" cm="1">
        <f t="array" ref="K142">+$I$123*$G123*_xlfn.XLOOKUP($D142,_xlfn.ANCHORARRAY($I$118),$L$118:$L$120,,0)*_xlfn.XLOOKUP($D142,$D$131:$D$133,K$131:K$133,,0)</f>
        <v>0.15720781075255122</v>
      </c>
      <c r="L142" s="6" cm="1">
        <f t="array" ref="L142">+$I$123*$G123*_xlfn.XLOOKUP($D142,_xlfn.ANCHORARRAY($I$118),$L$118:$L$120,,0)*_xlfn.XLOOKUP($D142,$D$131:$D$133,L$131:L$133,,0)</f>
        <v>0.1429161915932276</v>
      </c>
      <c r="M142" s="7" cm="1">
        <f t="array" ref="M142">+$I$123*$G123*_xlfn.XLOOKUP($D142,_xlfn.ANCHORARRAY($I$118),$L$118:$L$120,,0)*_xlfn.XLOOKUP($D142,$D$131:$D$133,M$131:M$133,,0)</f>
        <v>0.21437428738984399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x14ac:dyDescent="0.3">
      <c r="C143" s="20" t="s">
        <v>11</v>
      </c>
      <c r="D143" s="25" t="str">
        <f t="shared" si="35"/>
        <v>Agr</v>
      </c>
      <c r="E143" s="5" cm="1">
        <f t="array" ref="E143">+$I$123*$G124*_xlfn.XLOOKUP($D143,_xlfn.ANCHORARRAY($I$118),$L$118:$L$120,,0)*_xlfn.XLOOKUP($D143,$D$131:$D$133,E$131:E$133,,0)</f>
        <v>0.76235969802447523</v>
      </c>
      <c r="F143" s="6" cm="1">
        <f t="array" ref="F143">+$I$123*$G124*_xlfn.XLOOKUP($D143,_xlfn.ANCHORARRAY($I$118),$L$118:$L$120,,0)*_xlfn.XLOOKUP($D143,$D$131:$D$133,F$131:F$133,,0)</f>
        <v>0.30910064214254512</v>
      </c>
      <c r="G143" s="6" cm="1">
        <f t="array" ref="G143">+$I$123*$G124*_xlfn.XLOOKUP($D143,_xlfn.ANCHORARRAY($I$118),$L$118:$L$120,,0)*_xlfn.XLOOKUP($D143,$D$131:$D$133,G$131:G$133,,0)</f>
        <v>0.34001070635680009</v>
      </c>
      <c r="H143" s="6" cm="1">
        <f t="array" ref="H143">+$I$123*$G124*_xlfn.XLOOKUP($D143,_xlfn.ANCHORARRAY($I$118),$L$118:$L$120,,0)*_xlfn.XLOOKUP($D143,$D$131:$D$133,H$131:H$133,,0)</f>
        <v>0.26273554582116221</v>
      </c>
      <c r="I143" s="6" cm="1">
        <f t="array" ref="I143">+$I$123*$G124*_xlfn.XLOOKUP($D143,_xlfn.ANCHORARRAY($I$118),$L$118:$L$120,,0)*_xlfn.XLOOKUP($D143,$D$131:$D$133,I$131:I$133,,0)</f>
        <v>0.30910064214254379</v>
      </c>
      <c r="J143" s="6" cm="1">
        <f t="array" ref="J143">+$I$123*$G124*_xlfn.XLOOKUP($D143,_xlfn.ANCHORARRAY($I$118),$L$118:$L$120,,0)*_xlfn.XLOOKUP($D143,$D$131:$D$133,J$131:J$133,,0)</f>
        <v>0.26273554582116465</v>
      </c>
      <c r="K143" s="6" cm="1">
        <f t="array" ref="K143">+$I$123*$G124*_xlfn.XLOOKUP($D143,_xlfn.ANCHORARRAY($I$118),$L$118:$L$120,,0)*_xlfn.XLOOKUP($D143,$D$131:$D$133,K$131:K$133,,0)</f>
        <v>0.30910064214254546</v>
      </c>
      <c r="L143" s="6" cm="1">
        <f t="array" ref="L143">+$I$123*$G124*_xlfn.XLOOKUP($D143,_xlfn.ANCHORARRAY($I$118),$L$118:$L$120,,0)*_xlfn.XLOOKUP($D143,$D$131:$D$133,L$131:L$133,,0)</f>
        <v>0.38637580267818011</v>
      </c>
      <c r="M143" s="7" cm="1">
        <f t="array" ref="M143">+$I$123*$G124*_xlfn.XLOOKUP($D143,_xlfn.ANCHORARRAY($I$118),$L$118:$L$120,,0)*_xlfn.XLOOKUP($D143,$D$131:$D$133,M$131:M$133,,0)</f>
        <v>0.29364561003542045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x14ac:dyDescent="0.3">
      <c r="C144" s="20" t="s">
        <v>11</v>
      </c>
      <c r="D144" s="25" t="str">
        <f t="shared" si="35"/>
        <v>Ind</v>
      </c>
      <c r="E144" s="5" cm="1">
        <f t="array" ref="E144">+$I$123*$G125*_xlfn.XLOOKUP($D144,_xlfn.ANCHORARRAY($I$118),$L$118:$L$120,,0)*_xlfn.XLOOKUP($D144,$D$131:$D$133,E$131:E$133,,0)</f>
        <v>0.37341900485651636</v>
      </c>
      <c r="F144" s="6" cm="1">
        <f t="array" ref="F144">+$I$123*$G125*_xlfn.XLOOKUP($D144,_xlfn.ANCHORARRAY($I$118),$L$118:$L$120,,0)*_xlfn.XLOOKUP($D144,$D$131:$D$133,F$131:F$133,,0)</f>
        <v>0.16632340727479583</v>
      </c>
      <c r="G144" s="6" cm="1">
        <f t="array" ref="G144">+$I$123*$G125*_xlfn.XLOOKUP($D144,_xlfn.ANCHORARRAY($I$118),$L$118:$L$120,,0)*_xlfn.XLOOKUP($D144,$D$131:$D$133,G$131:G$133,,0)</f>
        <v>0.15352929902288906</v>
      </c>
      <c r="H144" s="6" cm="1">
        <f t="array" ref="H144">+$I$123*$G125*_xlfn.XLOOKUP($D144,_xlfn.ANCHORARRAY($I$118),$L$118:$L$120,,0)*_xlfn.XLOOKUP($D144,$D$131:$D$133,H$131:H$133,,0)</f>
        <v>0.24308805678623979</v>
      </c>
      <c r="I144" s="6" cm="1">
        <f t="array" ref="I144">+$I$123*$G125*_xlfn.XLOOKUP($D144,_xlfn.ANCHORARRAY($I$118),$L$118:$L$120,,0)*_xlfn.XLOOKUP($D144,$D$131:$D$133,I$131:I$133,,0)</f>
        <v>0.11514697426716627</v>
      </c>
      <c r="J144" s="6" cm="1">
        <f t="array" ref="J144">+$I$123*$G125*_xlfn.XLOOKUP($D144,_xlfn.ANCHORARRAY($I$118),$L$118:$L$120,,0)*_xlfn.XLOOKUP($D144,$D$131:$D$133,J$131:J$133,,0)</f>
        <v>0.17911751552670377</v>
      </c>
      <c r="K144" s="6" cm="1">
        <f t="array" ref="K144">+$I$123*$G125*_xlfn.XLOOKUP($D144,_xlfn.ANCHORARRAY($I$118),$L$118:$L$120,,0)*_xlfn.XLOOKUP($D144,$D$131:$D$133,K$131:K$133,,0)</f>
        <v>0.23029394853433299</v>
      </c>
      <c r="L144" s="6" cm="1">
        <f t="array" ref="L144">+$I$123*$G125*_xlfn.XLOOKUP($D144,_xlfn.ANCHORARRAY($I$118),$L$118:$L$120,,0)*_xlfn.XLOOKUP($D144,$D$131:$D$133,L$131:L$133,,0)</f>
        <v>0.20470573203051753</v>
      </c>
      <c r="M144" s="7" cm="1">
        <f t="array" ref="M144">+$I$123*$G125*_xlfn.XLOOKUP($D144,_xlfn.ANCHORARRAY($I$118),$L$118:$L$120,,0)*_xlfn.XLOOKUP($D144,$D$131:$D$133,M$131:M$133,,0)</f>
        <v>0.20470573203051962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3:24" x14ac:dyDescent="0.3">
      <c r="C145" s="20" t="s">
        <v>11</v>
      </c>
      <c r="D145" s="25" t="str">
        <f t="shared" si="35"/>
        <v>Serv</v>
      </c>
      <c r="E145" s="9" cm="1">
        <f t="array" ref="E145">+$I$123*$G126*_xlfn.XLOOKUP($D145,_xlfn.ANCHORARRAY($I$118),$L$118:$L$120,,0)*_xlfn.XLOOKUP($D145,$D$131:$D$133,E$131:E$133,,0)</f>
        <v>0.52618451987352399</v>
      </c>
      <c r="F145" s="10" cm="1">
        <f t="array" ref="F145">+$I$123*$G126*_xlfn.XLOOKUP($D145,_xlfn.ANCHORARRAY($I$118),$L$118:$L$120,,0)*_xlfn.XLOOKUP($D145,$D$131:$D$133,F$131:F$133,,0)</f>
        <v>0.10289965794712395</v>
      </c>
      <c r="G145" s="10" cm="1">
        <f t="array" ref="G145">+$I$123*$G126*_xlfn.XLOOKUP($D145,_xlfn.ANCHORARRAY($I$118),$L$118:$L$120,,0)*_xlfn.XLOOKUP($D145,$D$131:$D$133,G$131:G$133,,0)</f>
        <v>0.11759960908242784</v>
      </c>
      <c r="H145" s="10" cm="1">
        <f t="array" ref="H145">+$I$123*$G126*_xlfn.XLOOKUP($D145,_xlfn.ANCHORARRAY($I$118),$L$118:$L$120,,0)*_xlfn.XLOOKUP($D145,$D$131:$D$133,H$131:H$133,,0)</f>
        <v>0.26459912043546113</v>
      </c>
      <c r="I145" s="10" cm="1">
        <f t="array" ref="I145">+$I$123*$G126*_xlfn.XLOOKUP($D145,_xlfn.ANCHORARRAY($I$118),$L$118:$L$120,,0)*_xlfn.XLOOKUP($D145,$D$131:$D$133,I$131:I$133,,0)</f>
        <v>0.19109936475894437</v>
      </c>
      <c r="J145" s="10" cm="1">
        <f t="array" ref="J145">+$I$123*$G126*_xlfn.XLOOKUP($D145,_xlfn.ANCHORARRAY($I$118),$L$118:$L$120,,0)*_xlfn.XLOOKUP($D145,$D$131:$D$133,J$131:J$133,,0)</f>
        <v>8.8199706811820947E-2</v>
      </c>
      <c r="K145" s="10" cm="1">
        <f t="array" ref="K145">+$I$123*$G126*_xlfn.XLOOKUP($D145,_xlfn.ANCHORARRAY($I$118),$L$118:$L$120,,0)*_xlfn.XLOOKUP($D145,$D$131:$D$133,K$131:K$133,,0)</f>
        <v>0.16169946248833802</v>
      </c>
      <c r="L145" s="10" cm="1">
        <f t="array" ref="L145">+$I$123*$G126*_xlfn.XLOOKUP($D145,_xlfn.ANCHORARRAY($I$118),$L$118:$L$120,,0)*_xlfn.XLOOKUP($D145,$D$131:$D$133,L$131:L$133,,0)</f>
        <v>0.14699951135303377</v>
      </c>
      <c r="M145" s="11" cm="1">
        <f t="array" ref="M145">+$I$123*$G126*_xlfn.XLOOKUP($D145,_xlfn.ANCHORARRAY($I$118),$L$118:$L$120,,0)*_xlfn.XLOOKUP($D145,$D$131:$D$133,M$131:M$133,,0)</f>
        <v>0.2204992670295533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3:24" x14ac:dyDescent="0.3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4" x14ac:dyDescent="0.3">
      <c r="O147" s="19"/>
    </row>
    <row r="148" spans="3:24" ht="15" thickBot="1" x14ac:dyDescent="0.35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4" ht="15" thickBot="1" x14ac:dyDescent="0.35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4" x14ac:dyDescent="0.3">
      <c r="C150" s="20" t="s">
        <v>1</v>
      </c>
      <c r="D150" s="28" t="s">
        <v>51</v>
      </c>
      <c r="E150" s="1">
        <f t="shared" ref="E150:M158" si="36">+E78+E137</f>
        <v>7.6500075931796747</v>
      </c>
      <c r="F150" s="2">
        <f t="shared" si="36"/>
        <v>4.0043315891933213</v>
      </c>
      <c r="G150" s="2">
        <f t="shared" si="36"/>
        <v>7.6500075931796729</v>
      </c>
      <c r="H150" s="2">
        <f t="shared" si="36"/>
        <v>1.0598953515992529</v>
      </c>
      <c r="I150" s="2">
        <f t="shared" si="36"/>
        <v>0.39850620578552221</v>
      </c>
      <c r="J150" s="2">
        <f t="shared" si="36"/>
        <v>6.1080508883701734</v>
      </c>
      <c r="K150" s="2">
        <f t="shared" si="36"/>
        <v>2.562001435830203</v>
      </c>
      <c r="L150" s="2">
        <f t="shared" si="36"/>
        <v>5.5462882940028218</v>
      </c>
      <c r="M150" s="3">
        <f t="shared" si="36"/>
        <v>1.8209110488593667</v>
      </c>
      <c r="N150" s="19"/>
      <c r="O150" s="19"/>
    </row>
    <row r="151" spans="3:24" x14ac:dyDescent="0.3">
      <c r="C151" s="20" t="s">
        <v>1</v>
      </c>
      <c r="D151" s="25" t="s">
        <v>52</v>
      </c>
      <c r="E151" s="5">
        <f t="shared" si="36"/>
        <v>7.1700599413488515</v>
      </c>
      <c r="F151" s="6">
        <f t="shared" si="36"/>
        <v>3.7551621652501086</v>
      </c>
      <c r="G151" s="6">
        <f t="shared" si="36"/>
        <v>7.842241853126672</v>
      </c>
      <c r="H151" s="6">
        <f t="shared" si="36"/>
        <v>4.8976764728344921</v>
      </c>
      <c r="I151" s="6">
        <f t="shared" si="36"/>
        <v>1.9725424594799619</v>
      </c>
      <c r="J151" s="6">
        <f t="shared" si="36"/>
        <v>8.7377938535216373</v>
      </c>
      <c r="K151" s="6">
        <f t="shared" si="36"/>
        <v>2.290647390102226</v>
      </c>
      <c r="L151" s="6">
        <f t="shared" si="36"/>
        <v>4.8906249378578739</v>
      </c>
      <c r="M151" s="7">
        <f t="shared" si="36"/>
        <v>6.4432509264781803</v>
      </c>
      <c r="N151" s="19"/>
      <c r="O151" s="19"/>
    </row>
    <row r="152" spans="3:24" x14ac:dyDescent="0.3">
      <c r="C152" s="20" t="s">
        <v>1</v>
      </c>
      <c r="D152" s="25" t="s">
        <v>53</v>
      </c>
      <c r="E152" s="5">
        <f t="shared" si="36"/>
        <v>1.3976607149029652</v>
      </c>
      <c r="F152" s="6">
        <f t="shared" si="36"/>
        <v>0.62076411684362376</v>
      </c>
      <c r="G152" s="6">
        <f t="shared" si="36"/>
        <v>0.70944470496414203</v>
      </c>
      <c r="H152" s="6">
        <f t="shared" si="36"/>
        <v>6.6444061229402367</v>
      </c>
      <c r="I152" s="6">
        <f t="shared" si="36"/>
        <v>4.0375079522929695</v>
      </c>
      <c r="J152" s="6">
        <f t="shared" si="36"/>
        <v>3.4167438354493451</v>
      </c>
      <c r="K152" s="6">
        <f t="shared" si="36"/>
        <v>6.0236420060966136</v>
      </c>
      <c r="L152" s="6">
        <f t="shared" si="36"/>
        <v>3.7714661879314164</v>
      </c>
      <c r="M152" s="7">
        <f t="shared" si="36"/>
        <v>6.3783643585786862</v>
      </c>
      <c r="N152" s="19"/>
      <c r="O152" s="19"/>
    </row>
    <row r="153" spans="3:24" x14ac:dyDescent="0.3">
      <c r="C153" s="20" t="s">
        <v>10</v>
      </c>
      <c r="D153" s="25" t="str">
        <f>+D150</f>
        <v>Agr</v>
      </c>
      <c r="E153" s="5">
        <f t="shared" si="36"/>
        <v>8.9172687590154069</v>
      </c>
      <c r="F153" s="6">
        <f t="shared" si="36"/>
        <v>5.8119918096635894</v>
      </c>
      <c r="G153" s="6">
        <f t="shared" si="36"/>
        <v>5.3114433756076114</v>
      </c>
      <c r="H153" s="6">
        <f t="shared" si="36"/>
        <v>6.9233969990883386</v>
      </c>
      <c r="I153" s="6">
        <f t="shared" si="36"/>
        <v>9.4178171930713876</v>
      </c>
      <c r="J153" s="6">
        <f t="shared" si="36"/>
        <v>8.3657271524514609</v>
      </c>
      <c r="K153" s="6">
        <f t="shared" si="36"/>
        <v>9.4178171930713894</v>
      </c>
      <c r="L153" s="6">
        <f t="shared" si="36"/>
        <v>9.2481937229537756</v>
      </c>
      <c r="M153" s="7">
        <f t="shared" si="36"/>
        <v>8.5863437950770418</v>
      </c>
      <c r="N153" s="19"/>
      <c r="O153" s="19"/>
    </row>
    <row r="154" spans="3:24" x14ac:dyDescent="0.3">
      <c r="C154" s="20" t="s">
        <v>10</v>
      </c>
      <c r="D154" s="25" t="str">
        <f t="shared" ref="D154:D158" si="37">+D151</f>
        <v>Ind</v>
      </c>
      <c r="E154" s="5">
        <f t="shared" si="36"/>
        <v>4.0599836325576142</v>
      </c>
      <c r="F154" s="6">
        <f t="shared" si="36"/>
        <v>2.2451689347608381</v>
      </c>
      <c r="G154" s="6">
        <f t="shared" si="36"/>
        <v>3.1126055696084078</v>
      </c>
      <c r="H154" s="6">
        <f t="shared" si="36"/>
        <v>6.055112584194914</v>
      </c>
      <c r="I154" s="6">
        <f t="shared" si="36"/>
        <v>6.6163718200030646</v>
      </c>
      <c r="J154" s="6">
        <f t="shared" si="36"/>
        <v>4.0821013374691182</v>
      </c>
      <c r="K154" s="6">
        <f t="shared" si="36"/>
        <v>8.7254619107463842</v>
      </c>
      <c r="L154" s="6">
        <f t="shared" si="36"/>
        <v>2.3472280677739783</v>
      </c>
      <c r="M154" s="7">
        <f t="shared" si="36"/>
        <v>7.7559661428856757</v>
      </c>
      <c r="N154" s="19"/>
      <c r="O154" s="19"/>
    </row>
    <row r="155" spans="3:24" x14ac:dyDescent="0.3">
      <c r="C155" s="20" t="s">
        <v>10</v>
      </c>
      <c r="D155" s="25" t="str">
        <f t="shared" si="37"/>
        <v>Serv</v>
      </c>
      <c r="E155" s="5">
        <f t="shared" si="36"/>
        <v>5.8093578849864453</v>
      </c>
      <c r="F155" s="6">
        <f t="shared" si="36"/>
        <v>4.2642115679389159</v>
      </c>
      <c r="G155" s="6">
        <f t="shared" si="36"/>
        <v>3.6371016604760871</v>
      </c>
      <c r="H155" s="6">
        <f t="shared" si="36"/>
        <v>2.4141581226187148</v>
      </c>
      <c r="I155" s="6">
        <f t="shared" si="36"/>
        <v>7.7132028899775396</v>
      </c>
      <c r="J155" s="6">
        <f t="shared" si="36"/>
        <v>2.0066611686755054</v>
      </c>
      <c r="K155" s="6">
        <f t="shared" si="36"/>
        <v>1.7557719380876002</v>
      </c>
      <c r="L155" s="6">
        <f t="shared" si="36"/>
        <v>5.2675421522766692</v>
      </c>
      <c r="M155" s="7">
        <f t="shared" si="36"/>
        <v>2.1319926149625257</v>
      </c>
      <c r="N155" s="19"/>
    </row>
    <row r="156" spans="3:24" x14ac:dyDescent="0.3">
      <c r="C156" s="20" t="s">
        <v>11</v>
      </c>
      <c r="D156" s="25" t="str">
        <f t="shared" si="37"/>
        <v>Agr</v>
      </c>
      <c r="E156" s="5">
        <f t="shared" si="36"/>
        <v>4.3206357357170058</v>
      </c>
      <c r="F156" s="6">
        <f t="shared" si="36"/>
        <v>9.1726875901540783</v>
      </c>
      <c r="G156" s="6">
        <f t="shared" si="36"/>
        <v>7.9264611191248084</v>
      </c>
      <c r="H156" s="6">
        <f t="shared" si="36"/>
        <v>8.1573669899717434</v>
      </c>
      <c r="I156" s="6">
        <f t="shared" si="36"/>
        <v>9.1726875901540765</v>
      </c>
      <c r="J156" s="6">
        <f t="shared" si="36"/>
        <v>1.6668812998377083</v>
      </c>
      <c r="K156" s="6">
        <f t="shared" si="36"/>
        <v>7.0091923601093997</v>
      </c>
      <c r="L156" s="6">
        <f t="shared" si="36"/>
        <v>8.9417817193071372</v>
      </c>
      <c r="M156" s="7">
        <f t="shared" si="36"/>
        <v>7.6323055956240378</v>
      </c>
      <c r="N156" s="19"/>
    </row>
    <row r="157" spans="3:24" x14ac:dyDescent="0.3">
      <c r="C157" s="20" t="s">
        <v>11</v>
      </c>
      <c r="D157" s="25" t="str">
        <f t="shared" si="37"/>
        <v>Ind</v>
      </c>
      <c r="E157" s="5">
        <f t="shared" si="36"/>
        <v>1.8009016419350146</v>
      </c>
      <c r="F157" s="6">
        <f t="shared" si="36"/>
        <v>6.9962305426733309</v>
      </c>
      <c r="G157" s="6">
        <f t="shared" si="36"/>
        <v>1.0419787089734893</v>
      </c>
      <c r="H157" s="6">
        <f t="shared" si="36"/>
        <v>8.0421856515091505</v>
      </c>
      <c r="I157" s="6">
        <f t="shared" si="36"/>
        <v>0.40870531929839937</v>
      </c>
      <c r="J157" s="6">
        <f t="shared" si="36"/>
        <v>1.1764019626692392</v>
      </c>
      <c r="K157" s="6">
        <f t="shared" si="36"/>
        <v>6.9791298967142437</v>
      </c>
      <c r="L157" s="6">
        <f t="shared" si="36"/>
        <v>8.7579151699795652</v>
      </c>
      <c r="M157" s="7">
        <f t="shared" si="36"/>
        <v>1.7965511062475741</v>
      </c>
      <c r="N157" s="19"/>
    </row>
    <row r="158" spans="3:24" x14ac:dyDescent="0.3">
      <c r="C158" s="20" t="s">
        <v>11</v>
      </c>
      <c r="D158" s="25" t="str">
        <f t="shared" si="37"/>
        <v>Serv</v>
      </c>
      <c r="E158" s="9">
        <f t="shared" si="36"/>
        <v>8.7363715467097425</v>
      </c>
      <c r="F158" s="10">
        <f t="shared" si="36"/>
        <v>2.1195273717379814</v>
      </c>
      <c r="G158" s="10">
        <f t="shared" si="36"/>
        <v>3.6585999848689394</v>
      </c>
      <c r="H158" s="10">
        <f t="shared" si="36"/>
        <v>8.9530150426366717</v>
      </c>
      <c r="I158" s="10">
        <f t="shared" si="36"/>
        <v>1.2576519769818864</v>
      </c>
      <c r="J158" s="10">
        <f t="shared" si="36"/>
        <v>0.580454758607025</v>
      </c>
      <c r="K158" s="10">
        <f t="shared" si="36"/>
        <v>3.2276622874908916</v>
      </c>
      <c r="L158" s="10">
        <f t="shared" si="36"/>
        <v>0.96742459767837408</v>
      </c>
      <c r="M158" s="11">
        <f t="shared" si="36"/>
        <v>6.4992924332884829</v>
      </c>
      <c r="N158" s="19"/>
    </row>
    <row r="159" spans="3:24" x14ac:dyDescent="0.3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406.8</v>
      </c>
    </row>
    <row r="161" spans="1:13" x14ac:dyDescent="0.3">
      <c r="A161" s="66"/>
    </row>
    <row r="162" spans="1:13" ht="15" thickBot="1" x14ac:dyDescent="0.35">
      <c r="A162" s="68" t="s">
        <v>41</v>
      </c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ht="15" thickBot="1" x14ac:dyDescent="0.35">
      <c r="D163" s="23"/>
      <c r="E163" s="27"/>
      <c r="F163" s="26"/>
      <c r="G163" s="26"/>
      <c r="H163" s="26"/>
      <c r="I163" s="26"/>
      <c r="J163" s="26"/>
      <c r="K163" s="26"/>
      <c r="L163" s="26"/>
      <c r="M163" s="26"/>
    </row>
    <row r="164" spans="1:13" x14ac:dyDescent="0.3">
      <c r="D164" s="28"/>
      <c r="E164" s="1"/>
      <c r="F164" s="2"/>
      <c r="G164" s="2"/>
      <c r="H164" s="2"/>
      <c r="I164" s="2"/>
      <c r="J164" s="2"/>
      <c r="K164" s="2"/>
      <c r="L164" s="2"/>
      <c r="M164" s="3"/>
    </row>
    <row r="165" spans="1:13" x14ac:dyDescent="0.3">
      <c r="D165" s="25"/>
      <c r="E165" s="5"/>
      <c r="F165" s="6"/>
      <c r="G165" s="6"/>
      <c r="H165" s="6"/>
      <c r="I165" s="6"/>
      <c r="J165" s="6"/>
      <c r="K165" s="6"/>
      <c r="L165" s="6"/>
      <c r="M165" s="7"/>
    </row>
    <row r="166" spans="1:13" x14ac:dyDescent="0.3">
      <c r="D166" s="25"/>
      <c r="E166" s="9"/>
      <c r="F166" s="10"/>
      <c r="G166" s="10"/>
      <c r="H166" s="10"/>
      <c r="I166" s="10"/>
      <c r="J166" s="10"/>
      <c r="K166" s="10"/>
      <c r="L166" s="10"/>
      <c r="M166" s="11"/>
    </row>
    <row r="167" spans="1:13" x14ac:dyDescent="0.3">
      <c r="D167" s="25"/>
      <c r="E167" s="70"/>
      <c r="F167" s="71"/>
      <c r="G167" s="71"/>
      <c r="H167" s="71"/>
      <c r="I167" s="71"/>
      <c r="J167" s="71"/>
      <c r="K167" s="71"/>
      <c r="L167" s="71"/>
      <c r="M167" s="72"/>
    </row>
    <row r="169" spans="1:13" ht="15" thickBot="1" x14ac:dyDescent="0.35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</row>
    <row r="170" spans="1:13" ht="15" thickBot="1" x14ac:dyDescent="0.35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</row>
    <row r="171" spans="1:13" x14ac:dyDescent="0.3">
      <c r="D171" s="28" t="str" cm="1">
        <f t="array" ref="D171:D173">+_xlfn.UNIQUE($D$150:$D$158)</f>
        <v>Agr</v>
      </c>
      <c r="E171" s="1">
        <f>+IO_sub_model!E171</f>
        <v>0.30985915492957744</v>
      </c>
      <c r="F171" s="2">
        <f>+IO_sub_model!F171</f>
        <v>0.36363636363636365</v>
      </c>
      <c r="G171" s="2">
        <f>+IO_sub_model!G171</f>
        <v>0.46808510638297873</v>
      </c>
      <c r="H171" s="2">
        <f>+IO_sub_model!H171</f>
        <v>0.2073170731707317</v>
      </c>
      <c r="I171" s="2">
        <f>+IO_sub_model!I171</f>
        <v>0.4</v>
      </c>
      <c r="J171" s="2">
        <f>+IO_sub_model!J171</f>
        <v>0.30909090909090908</v>
      </c>
      <c r="K171" s="2">
        <f>+IO_sub_model!K171</f>
        <v>0.25316455696202533</v>
      </c>
      <c r="L171" s="2">
        <f>+IO_sub_model!L171</f>
        <v>0.38461538461538464</v>
      </c>
      <c r="M171" s="3">
        <f>+IO_sub_model!M171</f>
        <v>0.31666666666666665</v>
      </c>
    </row>
    <row r="172" spans="1:13" x14ac:dyDescent="0.3">
      <c r="D172" s="25" t="str">
        <v>Ind</v>
      </c>
      <c r="E172" s="5">
        <f>+IO_sub_model!E172</f>
        <v>0.18309859154929578</v>
      </c>
      <c r="F172" s="6">
        <f>+IO_sub_model!F172</f>
        <v>0.23636363636363636</v>
      </c>
      <c r="G172" s="6">
        <f>+IO_sub_model!G172</f>
        <v>0.25531914893617019</v>
      </c>
      <c r="H172" s="6">
        <f>+IO_sub_model!H172</f>
        <v>0.23170731707317074</v>
      </c>
      <c r="I172" s="6">
        <f>+IO_sub_model!I172</f>
        <v>0.18</v>
      </c>
      <c r="J172" s="6">
        <f>+IO_sub_model!J172</f>
        <v>0.25454545454545452</v>
      </c>
      <c r="K172" s="6">
        <f>+IO_sub_model!K172</f>
        <v>0.22784810126582278</v>
      </c>
      <c r="L172" s="6">
        <f>+IO_sub_model!L172</f>
        <v>0.24615384615384617</v>
      </c>
      <c r="M172" s="7">
        <f>+IO_sub_model!M172</f>
        <v>0.26666666666666666</v>
      </c>
    </row>
    <row r="173" spans="1:13" x14ac:dyDescent="0.3">
      <c r="D173" s="25" t="str">
        <v>Serv</v>
      </c>
      <c r="E173" s="9">
        <f>+IO_sub_model!E173</f>
        <v>0.22535211267605634</v>
      </c>
      <c r="F173" s="10">
        <f>+IO_sub_model!F173</f>
        <v>0.12727272727272726</v>
      </c>
      <c r="G173" s="10">
        <f>+IO_sub_model!G173</f>
        <v>0.1702127659574468</v>
      </c>
      <c r="H173" s="10">
        <f>+IO_sub_model!H173</f>
        <v>0.21951219512195122</v>
      </c>
      <c r="I173" s="10">
        <f>+IO_sub_model!I173</f>
        <v>0.26</v>
      </c>
      <c r="J173" s="10">
        <f>+IO_sub_model!J173</f>
        <v>0.10909090909090909</v>
      </c>
      <c r="K173" s="10">
        <f>+IO_sub_model!K173</f>
        <v>0.13924050632911392</v>
      </c>
      <c r="L173" s="10">
        <f>+IO_sub_model!L173</f>
        <v>0.15384615384615385</v>
      </c>
      <c r="M173" s="11">
        <f>+IO_sub_model!M173</f>
        <v>0.25</v>
      </c>
    </row>
    <row r="175" spans="1:13" ht="15" thickBot="1" x14ac:dyDescent="0.35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</row>
    <row r="176" spans="1:13" ht="15" thickBot="1" x14ac:dyDescent="0.35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</row>
    <row r="177" spans="2:14" x14ac:dyDescent="0.3">
      <c r="D177" s="28" t="str" cm="1">
        <f t="array" ref="D177:D179">+_xlfn.UNIQUE($D$150:$D$158)</f>
        <v>Agr</v>
      </c>
      <c r="E177" s="1">
        <f>+SUMIF($D$150:$D$158,$D177,E$150:E$158)</f>
        <v>20.887912087912085</v>
      </c>
      <c r="F177" s="2">
        <f t="shared" ref="F177:M179" si="38">+SUMIF($D$150:$D$158,$D177,F$150:F$158)</f>
        <v>18.989010989010989</v>
      </c>
      <c r="G177" s="2">
        <f t="shared" si="38"/>
        <v>20.887912087912092</v>
      </c>
      <c r="H177" s="2">
        <f t="shared" si="38"/>
        <v>16.140659340659333</v>
      </c>
      <c r="I177" s="2">
        <f t="shared" si="38"/>
        <v>18.989010989010985</v>
      </c>
      <c r="J177" s="2">
        <f t="shared" si="38"/>
        <v>16.140659340659344</v>
      </c>
      <c r="K177" s="2">
        <f t="shared" si="38"/>
        <v>18.989010989010993</v>
      </c>
      <c r="L177" s="2">
        <f t="shared" si="38"/>
        <v>23.736263736263734</v>
      </c>
      <c r="M177" s="3">
        <f t="shared" si="38"/>
        <v>18.039560439560447</v>
      </c>
    </row>
    <row r="178" spans="2:14" x14ac:dyDescent="0.3">
      <c r="D178" s="25" t="str">
        <v>Ind</v>
      </c>
      <c r="E178" s="5">
        <f t="shared" ref="E178:E179" si="39">+SUMIF($D$150:$D$158,$D178,E$150:E$158)</f>
        <v>13.030945215841481</v>
      </c>
      <c r="F178" s="6">
        <f t="shared" si="38"/>
        <v>12.996561642684277</v>
      </c>
      <c r="G178" s="6">
        <f t="shared" si="38"/>
        <v>11.99682613170857</v>
      </c>
      <c r="H178" s="6">
        <f t="shared" si="38"/>
        <v>18.994974708538557</v>
      </c>
      <c r="I178" s="6">
        <f t="shared" si="38"/>
        <v>8.9976195987814247</v>
      </c>
      <c r="J178" s="6">
        <f t="shared" si="38"/>
        <v>13.996297153659995</v>
      </c>
      <c r="K178" s="6">
        <f t="shared" si="38"/>
        <v>17.995239197562853</v>
      </c>
      <c r="L178" s="6">
        <f t="shared" si="38"/>
        <v>15.995768175611417</v>
      </c>
      <c r="M178" s="7">
        <f t="shared" si="38"/>
        <v>15.995768175611429</v>
      </c>
    </row>
    <row r="179" spans="2:14" x14ac:dyDescent="0.3">
      <c r="D179" s="25" t="str">
        <v>Serv</v>
      </c>
      <c r="E179" s="9">
        <f t="shared" si="39"/>
        <v>15.943390146599153</v>
      </c>
      <c r="F179" s="10">
        <f t="shared" si="38"/>
        <v>7.0045030565205213</v>
      </c>
      <c r="G179" s="10">
        <f t="shared" si="38"/>
        <v>8.0051463503091682</v>
      </c>
      <c r="H179" s="10">
        <f t="shared" si="38"/>
        <v>18.011579288195623</v>
      </c>
      <c r="I179" s="10">
        <f t="shared" si="38"/>
        <v>13.008362819252396</v>
      </c>
      <c r="J179" s="10">
        <f t="shared" si="38"/>
        <v>6.0038597627318753</v>
      </c>
      <c r="K179" s="10">
        <f t="shared" si="38"/>
        <v>11.007076231675105</v>
      </c>
      <c r="L179" s="10">
        <f t="shared" si="38"/>
        <v>10.006432937886458</v>
      </c>
      <c r="M179" s="11">
        <f t="shared" si="38"/>
        <v>15.009649406829695</v>
      </c>
    </row>
    <row r="181" spans="2:14" x14ac:dyDescent="0.3">
      <c r="E181" s="1">
        <f>+E177/E171</f>
        <v>67.410989010989013</v>
      </c>
      <c r="F181" s="2">
        <f t="shared" ref="F181:M181" si="40">+F177/F171</f>
        <v>52.219780219780219</v>
      </c>
      <c r="G181" s="2">
        <f t="shared" si="40"/>
        <v>44.624175824175829</v>
      </c>
      <c r="H181" s="2">
        <f t="shared" si="40"/>
        <v>77.85494505494502</v>
      </c>
      <c r="I181" s="2">
        <f t="shared" si="40"/>
        <v>47.47252747252746</v>
      </c>
      <c r="J181" s="2">
        <f t="shared" si="40"/>
        <v>52.219780219780233</v>
      </c>
      <c r="K181" s="2">
        <f t="shared" si="40"/>
        <v>75.00659340659341</v>
      </c>
      <c r="L181" s="2">
        <f t="shared" si="40"/>
        <v>61.714285714285701</v>
      </c>
      <c r="M181" s="3">
        <f t="shared" si="40"/>
        <v>56.967032967032992</v>
      </c>
    </row>
    <row r="182" spans="2:14" x14ac:dyDescent="0.3">
      <c r="E182" s="5">
        <f t="shared" ref="E182:M183" si="41">+E178/E172</f>
        <v>71.169008486518848</v>
      </c>
      <c r="F182" s="6">
        <f t="shared" si="41"/>
        <v>54.985453103664248</v>
      </c>
      <c r="G182" s="6">
        <f t="shared" si="41"/>
        <v>46.987569015858568</v>
      </c>
      <c r="H182" s="6">
        <f t="shared" si="41"/>
        <v>81.978311900008507</v>
      </c>
      <c r="I182" s="6">
        <f t="shared" si="41"/>
        <v>49.986775548785694</v>
      </c>
      <c r="J182" s="6">
        <f t="shared" si="41"/>
        <v>54.98545310366427</v>
      </c>
      <c r="K182" s="6">
        <f t="shared" si="41"/>
        <v>78.979105367081416</v>
      </c>
      <c r="L182" s="6">
        <f t="shared" si="41"/>
        <v>64.982808213421379</v>
      </c>
      <c r="M182" s="7">
        <f t="shared" si="41"/>
        <v>59.98413065854286</v>
      </c>
    </row>
    <row r="183" spans="2:14" x14ac:dyDescent="0.3">
      <c r="E183" s="73">
        <f t="shared" si="41"/>
        <v>70.748793775533741</v>
      </c>
      <c r="F183" s="74">
        <f t="shared" si="41"/>
        <v>55.035381158375529</v>
      </c>
      <c r="G183" s="74">
        <f t="shared" si="41"/>
        <v>47.030234808066368</v>
      </c>
      <c r="H183" s="74">
        <f t="shared" si="41"/>
        <v>82.052750090668951</v>
      </c>
      <c r="I183" s="74">
        <f t="shared" si="41"/>
        <v>50.032164689432292</v>
      </c>
      <c r="J183" s="74">
        <f t="shared" si="41"/>
        <v>55.035381158375529</v>
      </c>
      <c r="K183" s="74">
        <f t="shared" si="41"/>
        <v>79.050820209303041</v>
      </c>
      <c r="L183" s="74">
        <f t="shared" si="41"/>
        <v>65.041814096261973</v>
      </c>
      <c r="M183" s="75">
        <f t="shared" si="41"/>
        <v>60.038597627318779</v>
      </c>
    </row>
    <row r="184" spans="2:14" x14ac:dyDescent="0.3">
      <c r="D184" s="25" t="s">
        <v>47</v>
      </c>
      <c r="E184" s="13">
        <f>+MIN(E181:E183)</f>
        <v>67.410989010989013</v>
      </c>
      <c r="F184" s="14">
        <f t="shared" ref="F184:M184" si="42">+MIN(F181:F183)</f>
        <v>52.219780219780219</v>
      </c>
      <c r="G184" s="14">
        <f t="shared" si="42"/>
        <v>44.624175824175829</v>
      </c>
      <c r="H184" s="14">
        <f t="shared" si="42"/>
        <v>77.85494505494502</v>
      </c>
      <c r="I184" s="14">
        <f t="shared" si="42"/>
        <v>47.47252747252746</v>
      </c>
      <c r="J184" s="14">
        <f t="shared" si="42"/>
        <v>52.219780219780233</v>
      </c>
      <c r="K184" s="14">
        <f t="shared" si="42"/>
        <v>75.00659340659341</v>
      </c>
      <c r="L184" s="14">
        <f t="shared" si="42"/>
        <v>61.714285714285701</v>
      </c>
      <c r="M184" s="15">
        <f t="shared" si="42"/>
        <v>56.967032967032992</v>
      </c>
      <c r="N184" s="19">
        <f>+SUM(E184:M184)</f>
        <v>535.49010989011003</v>
      </c>
    </row>
    <row r="187" spans="2:14" x14ac:dyDescent="0.3">
      <c r="C187" s="115" t="s">
        <v>61</v>
      </c>
      <c r="D187" s="77" t="s">
        <v>48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</row>
    <row r="188" spans="2:14" x14ac:dyDescent="0.3">
      <c r="B188" s="18" cm="1">
        <f t="array" ref="B188:B196">+TRANSPOSE(E184:M184)</f>
        <v>67.410989010989013</v>
      </c>
      <c r="C188" s="5" cm="1">
        <f t="array" ref="C188:C196">+H47:H55</f>
        <v>27.20340055548845</v>
      </c>
      <c r="D188" s="79">
        <f>+G188-SUM(E150:M150)</f>
        <v>27.203400555488457</v>
      </c>
      <c r="E188" s="117">
        <f>+C188-D188</f>
        <v>0</v>
      </c>
      <c r="F188" s="78">
        <f>+SUM(E150:M150)+C188</f>
        <v>64.003400555488469</v>
      </c>
      <c r="G188" s="79">
        <f>+MIN(B188,F188)</f>
        <v>64.003400555488469</v>
      </c>
      <c r="H188" s="117">
        <f>+F188-G188</f>
        <v>0</v>
      </c>
      <c r="I188" s="120" t="b">
        <f>+H188&lt;0.001</f>
        <v>1</v>
      </c>
    </row>
    <row r="189" spans="2:14" x14ac:dyDescent="0.3">
      <c r="B189" s="18">
        <v>52.219780219780219</v>
      </c>
      <c r="C189" s="5">
        <v>4.5827363844946376</v>
      </c>
      <c r="D189" s="79">
        <f t="shared" ref="D189:D196" si="43">+G189-SUM(E151:M151)</f>
        <v>4.219780219780219</v>
      </c>
      <c r="E189" s="117">
        <f t="shared" ref="E189:E196" si="44">+C189-D189</f>
        <v>0.36295616471441861</v>
      </c>
      <c r="F189" s="78">
        <f t="shared" ref="F189:F196" si="45">+SUM(E151:M151)+C189</f>
        <v>52.582736384494638</v>
      </c>
      <c r="G189" s="79">
        <f t="shared" ref="G189:G196" si="46">+MIN(B189,F189)</f>
        <v>52.219780219780219</v>
      </c>
      <c r="H189" s="117">
        <f t="shared" ref="H189:H196" si="47">+F189-G189</f>
        <v>0.36295616471441861</v>
      </c>
      <c r="I189" s="120" t="b">
        <f t="shared" ref="I189:I196" si="48">+H189&lt;0.001</f>
        <v>0</v>
      </c>
    </row>
    <row r="190" spans="2:14" x14ac:dyDescent="0.3">
      <c r="B190" s="18">
        <v>44.624175824175829</v>
      </c>
      <c r="C190" s="5">
        <v>11.934338364931783</v>
      </c>
      <c r="D190" s="79">
        <f t="shared" si="43"/>
        <v>11.624175824175829</v>
      </c>
      <c r="E190" s="117">
        <f t="shared" si="44"/>
        <v>0.31016254075595384</v>
      </c>
      <c r="F190" s="78">
        <f t="shared" si="45"/>
        <v>44.934338364931783</v>
      </c>
      <c r="G190" s="79">
        <f t="shared" si="46"/>
        <v>44.624175824175829</v>
      </c>
      <c r="H190" s="117">
        <f t="shared" si="47"/>
        <v>0.31016254075595384</v>
      </c>
      <c r="I190" s="120" t="b">
        <f t="shared" si="48"/>
        <v>0</v>
      </c>
    </row>
    <row r="191" spans="2:14" x14ac:dyDescent="0.3">
      <c r="B191" s="18">
        <v>77.85494505494502</v>
      </c>
      <c r="C191" s="5">
        <v>6.3960797005192944</v>
      </c>
      <c r="D191" s="79">
        <f t="shared" si="43"/>
        <v>5.8549450549450199</v>
      </c>
      <c r="E191" s="117">
        <f t="shared" si="44"/>
        <v>0.54113464557427449</v>
      </c>
      <c r="F191" s="78">
        <f t="shared" si="45"/>
        <v>78.396079700519294</v>
      </c>
      <c r="G191" s="79">
        <f t="shared" si="46"/>
        <v>77.85494505494502</v>
      </c>
      <c r="H191" s="117">
        <f t="shared" si="47"/>
        <v>0.54113464557427449</v>
      </c>
      <c r="I191" s="120" t="b">
        <f t="shared" si="48"/>
        <v>0</v>
      </c>
    </row>
    <row r="192" spans="2:14" x14ac:dyDescent="0.3">
      <c r="B192" s="18">
        <v>47.47252747252746</v>
      </c>
      <c r="C192" s="5">
        <v>2.8024876222678472</v>
      </c>
      <c r="D192" s="79">
        <f t="shared" si="43"/>
        <v>2.4725274725274673</v>
      </c>
      <c r="E192" s="117">
        <f t="shared" si="44"/>
        <v>0.3299601497403799</v>
      </c>
      <c r="F192" s="78">
        <f t="shared" si="45"/>
        <v>47.80248762226784</v>
      </c>
      <c r="G192" s="79">
        <f t="shared" si="46"/>
        <v>47.47252747252746</v>
      </c>
      <c r="H192" s="117">
        <f t="shared" si="47"/>
        <v>0.3299601497403799</v>
      </c>
      <c r="I192" s="120" t="b">
        <f t="shared" si="48"/>
        <v>0</v>
      </c>
    </row>
    <row r="193" spans="2:13" x14ac:dyDescent="0.3">
      <c r="B193" s="18">
        <v>52.219780219780233</v>
      </c>
      <c r="C193" s="5">
        <v>17.582736384494623</v>
      </c>
      <c r="D193" s="79">
        <f t="shared" si="43"/>
        <v>17.219780219780219</v>
      </c>
      <c r="E193" s="117">
        <f t="shared" si="44"/>
        <v>0.36295616471440439</v>
      </c>
      <c r="F193" s="78">
        <f t="shared" si="45"/>
        <v>52.582736384494638</v>
      </c>
      <c r="G193" s="79">
        <f t="shared" si="46"/>
        <v>52.219780219780233</v>
      </c>
      <c r="H193" s="117">
        <f t="shared" si="47"/>
        <v>0.36295616471440439</v>
      </c>
      <c r="I193" s="120" t="b">
        <f t="shared" si="48"/>
        <v>0</v>
      </c>
    </row>
    <row r="194" spans="2:13" x14ac:dyDescent="0.3">
      <c r="B194" s="18">
        <v>75.00659340659341</v>
      </c>
      <c r="C194" s="5">
        <v>11.527930443183195</v>
      </c>
      <c r="D194" s="79">
        <f t="shared" si="43"/>
        <v>11.00659340659341</v>
      </c>
      <c r="E194" s="117">
        <f t="shared" si="44"/>
        <v>0.52133703658978447</v>
      </c>
      <c r="F194" s="78">
        <f t="shared" si="45"/>
        <v>75.527930443183195</v>
      </c>
      <c r="G194" s="79">
        <f t="shared" si="46"/>
        <v>75.00659340659341</v>
      </c>
      <c r="H194" s="117">
        <f t="shared" si="47"/>
        <v>0.52133703658978447</v>
      </c>
      <c r="I194" s="120" t="b">
        <f t="shared" si="48"/>
        <v>0</v>
      </c>
    </row>
    <row r="195" spans="2:13" x14ac:dyDescent="0.3">
      <c r="B195" s="18">
        <v>61.714285714285701</v>
      </c>
      <c r="C195" s="5">
        <v>25.14323390894819</v>
      </c>
      <c r="D195" s="79">
        <f t="shared" si="43"/>
        <v>24.714285714285687</v>
      </c>
      <c r="E195" s="117">
        <f t="shared" si="44"/>
        <v>0.42894819466250311</v>
      </c>
      <c r="F195" s="78">
        <f t="shared" si="45"/>
        <v>62.143233908948204</v>
      </c>
      <c r="G195" s="79">
        <f t="shared" si="46"/>
        <v>61.714285714285701</v>
      </c>
      <c r="H195" s="117">
        <f t="shared" si="47"/>
        <v>0.42894819466250311</v>
      </c>
      <c r="I195" s="120" t="b">
        <f t="shared" si="48"/>
        <v>0</v>
      </c>
    </row>
    <row r="196" spans="2:13" x14ac:dyDescent="0.3">
      <c r="B196" s="18">
        <v>56.967032967032992</v>
      </c>
      <c r="C196" s="9">
        <v>21.362985146721421</v>
      </c>
      <c r="D196" s="81">
        <f t="shared" si="43"/>
        <v>20.967032967032999</v>
      </c>
      <c r="E196" s="118">
        <f t="shared" si="44"/>
        <v>0.39595217968842178</v>
      </c>
      <c r="F196" s="80">
        <f t="shared" si="45"/>
        <v>57.362985146721414</v>
      </c>
      <c r="G196" s="81">
        <f t="shared" si="46"/>
        <v>56.967032967032992</v>
      </c>
      <c r="H196" s="118">
        <f t="shared" si="47"/>
        <v>0.39595217968842178</v>
      </c>
      <c r="I196" s="120" t="b">
        <f t="shared" si="48"/>
        <v>0</v>
      </c>
    </row>
    <row r="198" spans="2:13" ht="15" thickBot="1" x14ac:dyDescent="0.35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13" ht="15" thickBot="1" x14ac:dyDescent="0.35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13" x14ac:dyDescent="0.3">
      <c r="C200" s="20" t="s">
        <v>1</v>
      </c>
      <c r="D200" s="28" t="s">
        <v>51</v>
      </c>
      <c r="E200" s="1">
        <f t="shared" ref="E200:M208" si="49">+E150/E$184</f>
        <v>0.11348309386074439</v>
      </c>
      <c r="F200" s="2">
        <f t="shared" si="49"/>
        <v>7.668227580315494E-2</v>
      </c>
      <c r="G200" s="2">
        <f t="shared" si="49"/>
        <v>0.17143190774708189</v>
      </c>
      <c r="H200" s="2">
        <f t="shared" si="49"/>
        <v>1.3613719088122749E-2</v>
      </c>
      <c r="I200" s="2">
        <f t="shared" si="49"/>
        <v>8.3944594274265108E-3</v>
      </c>
      <c r="J200" s="2">
        <f t="shared" si="49"/>
        <v>0.11696814622089344</v>
      </c>
      <c r="K200" s="2">
        <f t="shared" si="49"/>
        <v>3.4157016329780306E-2</v>
      </c>
      <c r="L200" s="2">
        <f t="shared" si="49"/>
        <v>8.9870412171342035E-2</v>
      </c>
      <c r="M200" s="3">
        <f t="shared" si="49"/>
        <v>3.1964295032060629E-2</v>
      </c>
    </row>
    <row r="201" spans="2:13" x14ac:dyDescent="0.3">
      <c r="C201" s="20" t="s">
        <v>1</v>
      </c>
      <c r="D201" s="25" t="s">
        <v>52</v>
      </c>
      <c r="E201" s="5">
        <f t="shared" si="49"/>
        <v>0.10636336963072925</v>
      </c>
      <c r="F201" s="6">
        <f t="shared" si="49"/>
        <v>7.1910723282356884E-2</v>
      </c>
      <c r="G201" s="6">
        <f t="shared" si="49"/>
        <v>0.17573975783947179</v>
      </c>
      <c r="H201" s="6">
        <f t="shared" si="49"/>
        <v>6.2907712148252456E-2</v>
      </c>
      <c r="I201" s="6">
        <f t="shared" si="49"/>
        <v>4.1551241623304765E-2</v>
      </c>
      <c r="J201" s="6">
        <f t="shared" si="49"/>
        <v>0.16732728128587307</v>
      </c>
      <c r="K201" s="6">
        <f t="shared" si="49"/>
        <v>3.0539280429457125E-2</v>
      </c>
      <c r="L201" s="6">
        <f t="shared" si="49"/>
        <v>7.9246237418993337E-2</v>
      </c>
      <c r="M201" s="7">
        <f t="shared" si="49"/>
        <v>0.11310490630970566</v>
      </c>
    </row>
    <row r="202" spans="2:13" x14ac:dyDescent="0.3">
      <c r="C202" s="20" t="s">
        <v>1</v>
      </c>
      <c r="D202" s="25" t="s">
        <v>53</v>
      </c>
      <c r="E202" s="5">
        <f t="shared" si="49"/>
        <v>2.0733425446037075E-2</v>
      </c>
      <c r="F202" s="6">
        <f t="shared" si="49"/>
        <v>1.1887528331811819E-2</v>
      </c>
      <c r="G202" s="6">
        <f t="shared" si="49"/>
        <v>1.589821418236232E-2</v>
      </c>
      <c r="H202" s="6">
        <f t="shared" si="49"/>
        <v>8.5343405203754774E-2</v>
      </c>
      <c r="I202" s="6">
        <f t="shared" si="49"/>
        <v>8.5049357328393596E-2</v>
      </c>
      <c r="J202" s="6">
        <f t="shared" si="49"/>
        <v>6.5430069239455033E-2</v>
      </c>
      <c r="K202" s="6">
        <f t="shared" si="49"/>
        <v>8.030816668934479E-2</v>
      </c>
      <c r="L202" s="6">
        <f t="shared" si="49"/>
        <v>6.1111720637777596E-2</v>
      </c>
      <c r="M202" s="7">
        <f t="shared" si="49"/>
        <v>0.1119658866957292</v>
      </c>
    </row>
    <row r="203" spans="2:13" x14ac:dyDescent="0.3">
      <c r="C203" s="20" t="s">
        <v>10</v>
      </c>
      <c r="D203" s="25" t="str">
        <f>+D200</f>
        <v>Agr</v>
      </c>
      <c r="E203" s="5">
        <f t="shared" si="49"/>
        <v>0.13228212328351624</v>
      </c>
      <c r="F203" s="6">
        <f t="shared" si="49"/>
        <v>0.11129866470525814</v>
      </c>
      <c r="G203" s="6">
        <f t="shared" si="49"/>
        <v>0.11902613947505235</v>
      </c>
      <c r="H203" s="6">
        <f t="shared" si="49"/>
        <v>8.8926875411732026E-2</v>
      </c>
      <c r="I203" s="6">
        <f t="shared" si="49"/>
        <v>0.19838457513182789</v>
      </c>
      <c r="J203" s="6">
        <f t="shared" si="49"/>
        <v>0.16020226659787096</v>
      </c>
      <c r="K203" s="6">
        <f t="shared" si="49"/>
        <v>0.12555985767837208</v>
      </c>
      <c r="L203" s="6">
        <f t="shared" si="49"/>
        <v>0.14985499088119547</v>
      </c>
      <c r="M203" s="7">
        <f t="shared" si="49"/>
        <v>0.15072478498302672</v>
      </c>
    </row>
    <row r="204" spans="2:13" x14ac:dyDescent="0.3">
      <c r="C204" s="20" t="s">
        <v>10</v>
      </c>
      <c r="D204" s="25" t="str">
        <f t="shared" ref="D204:D208" si="50">+D201</f>
        <v>Ind</v>
      </c>
      <c r="E204" s="5">
        <f t="shared" si="49"/>
        <v>6.022732631760936E-2</v>
      </c>
      <c r="F204" s="6">
        <f t="shared" si="49"/>
        <v>4.2994607126101911E-2</v>
      </c>
      <c r="G204" s="6">
        <f t="shared" si="49"/>
        <v>6.9751553101449246E-2</v>
      </c>
      <c r="H204" s="6">
        <f t="shared" si="49"/>
        <v>7.77742837005614E-2</v>
      </c>
      <c r="I204" s="6">
        <f t="shared" si="49"/>
        <v>0.13937264713432385</v>
      </c>
      <c r="J204" s="6">
        <f t="shared" si="49"/>
        <v>7.8171553390086204E-2</v>
      </c>
      <c r="K204" s="6">
        <f t="shared" si="49"/>
        <v>0.11632926539467899</v>
      </c>
      <c r="L204" s="6">
        <f t="shared" si="49"/>
        <v>3.8033788135226509E-2</v>
      </c>
      <c r="M204" s="7">
        <f t="shared" si="49"/>
        <v>0.13614832542488353</v>
      </c>
    </row>
    <row r="205" spans="2:13" x14ac:dyDescent="0.3">
      <c r="C205" s="20" t="s">
        <v>10</v>
      </c>
      <c r="D205" s="25" t="str">
        <f t="shared" si="50"/>
        <v>Serv</v>
      </c>
      <c r="E205" s="5">
        <f t="shared" si="49"/>
        <v>8.617820284522798E-2</v>
      </c>
      <c r="F205" s="6">
        <f t="shared" si="49"/>
        <v>8.165893364529489E-2</v>
      </c>
      <c r="G205" s="6">
        <f t="shared" si="49"/>
        <v>8.1505183979344933E-2</v>
      </c>
      <c r="H205" s="6">
        <f t="shared" si="49"/>
        <v>3.1008410845514783E-2</v>
      </c>
      <c r="I205" s="6">
        <f t="shared" si="49"/>
        <v>0.16247719050647136</v>
      </c>
      <c r="J205" s="6">
        <f t="shared" si="49"/>
        <v>3.8427223558390351E-2</v>
      </c>
      <c r="K205" s="6">
        <f t="shared" si="49"/>
        <v>2.3408234641053037E-2</v>
      </c>
      <c r="L205" s="6">
        <f t="shared" si="49"/>
        <v>8.5353692282260862E-2</v>
      </c>
      <c r="M205" s="7">
        <f t="shared" si="49"/>
        <v>3.7425024683948642E-2</v>
      </c>
    </row>
    <row r="206" spans="2:13" x14ac:dyDescent="0.3">
      <c r="C206" s="20" t="s">
        <v>11</v>
      </c>
      <c r="D206" s="25" t="str">
        <f t="shared" si="50"/>
        <v>Agr</v>
      </c>
      <c r="E206" s="5">
        <f t="shared" si="49"/>
        <v>6.4093937785316815E-2</v>
      </c>
      <c r="F206" s="6">
        <f t="shared" si="49"/>
        <v>0.17565542312795057</v>
      </c>
      <c r="G206" s="6">
        <f t="shared" si="49"/>
        <v>0.17762705916084454</v>
      </c>
      <c r="H206" s="6">
        <f t="shared" si="49"/>
        <v>0.10477647867087694</v>
      </c>
      <c r="I206" s="6">
        <f t="shared" si="49"/>
        <v>0.19322096544074566</v>
      </c>
      <c r="J206" s="6">
        <f t="shared" si="49"/>
        <v>3.1920496272144661E-2</v>
      </c>
      <c r="K206" s="6">
        <f t="shared" si="49"/>
        <v>9.3447682953872971E-2</v>
      </c>
      <c r="L206" s="6">
        <f t="shared" si="49"/>
        <v>0.14488998156284716</v>
      </c>
      <c r="M206" s="7">
        <f t="shared" si="49"/>
        <v>0.1339775866515793</v>
      </c>
    </row>
    <row r="207" spans="2:13" x14ac:dyDescent="0.3">
      <c r="C207" s="20" t="s">
        <v>11</v>
      </c>
      <c r="D207" s="25" t="str">
        <f t="shared" si="50"/>
        <v>Ind</v>
      </c>
      <c r="E207" s="5">
        <f t="shared" si="49"/>
        <v>2.6715253230321843E-2</v>
      </c>
      <c r="F207" s="6">
        <f t="shared" si="49"/>
        <v>0.13397663707560462</v>
      </c>
      <c r="G207" s="6">
        <f t="shared" si="49"/>
        <v>2.3350094197347203E-2</v>
      </c>
      <c r="H207" s="6">
        <f t="shared" si="49"/>
        <v>0.10329704357036656</v>
      </c>
      <c r="I207" s="6">
        <f t="shared" si="49"/>
        <v>8.6093018648505451E-3</v>
      </c>
      <c r="J207" s="6">
        <f t="shared" si="49"/>
        <v>2.2527899537647462E-2</v>
      </c>
      <c r="K207" s="6">
        <f t="shared" si="49"/>
        <v>9.3046885343558969E-2</v>
      </c>
      <c r="L207" s="6">
        <f t="shared" si="49"/>
        <v>0.14191066247652076</v>
      </c>
      <c r="M207" s="7">
        <f t="shared" si="49"/>
        <v>3.1536680298713191E-2</v>
      </c>
    </row>
    <row r="208" spans="2:13" x14ac:dyDescent="0.3">
      <c r="C208" s="20" t="s">
        <v>11</v>
      </c>
      <c r="D208" s="25" t="str">
        <f t="shared" si="50"/>
        <v>Serv</v>
      </c>
      <c r="E208" s="9">
        <f t="shared" si="49"/>
        <v>0.12959862590482957</v>
      </c>
      <c r="F208" s="10">
        <f t="shared" si="49"/>
        <v>4.0588592345992491E-2</v>
      </c>
      <c r="G208" s="10">
        <f t="shared" si="49"/>
        <v>8.1986948045477112E-2</v>
      </c>
      <c r="H208" s="10">
        <f t="shared" si="49"/>
        <v>0.11499609994353228</v>
      </c>
      <c r="I208" s="10">
        <f t="shared" si="49"/>
        <v>2.6492205996609185E-2</v>
      </c>
      <c r="J208" s="10">
        <f t="shared" si="49"/>
        <v>1.1115610907668196E-2</v>
      </c>
      <c r="K208" s="10">
        <f t="shared" si="49"/>
        <v>4.3031714158707088E-2</v>
      </c>
      <c r="L208" s="10">
        <f t="shared" si="49"/>
        <v>1.567586153645514E-2</v>
      </c>
      <c r="M208" s="11">
        <f t="shared" si="49"/>
        <v>0.11408865961212417</v>
      </c>
    </row>
    <row r="211" spans="3:13" ht="15" thickBot="1" x14ac:dyDescent="0.35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" thickBot="1" x14ac:dyDescent="0.35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3">
      <c r="C213" s="20" t="s">
        <v>1</v>
      </c>
      <c r="D213" s="28" t="s">
        <v>51</v>
      </c>
      <c r="E213" s="1" cm="1">
        <f t="array" ref="E213:M221">+MINVERSE(_xlfn.MUNIT(COUNTA($D$213:$D$221))-E200:M208)</f>
        <v>1.3024986452103609</v>
      </c>
      <c r="F213" s="2">
        <v>0.26476433115947329</v>
      </c>
      <c r="G213" s="2">
        <v>0.40218059650884741</v>
      </c>
      <c r="H213" s="2">
        <v>0.1934162088439817</v>
      </c>
      <c r="I213" s="2">
        <v>0.22176460408632115</v>
      </c>
      <c r="J213" s="2">
        <v>0.29872085092152639</v>
      </c>
      <c r="K213" s="2">
        <v>0.19945442892545165</v>
      </c>
      <c r="L213" s="2">
        <v>0.30111384917818174</v>
      </c>
      <c r="M213" s="3">
        <v>0.25211754064503811</v>
      </c>
    </row>
    <row r="214" spans="3:13" x14ac:dyDescent="0.3">
      <c r="C214" s="20" t="s">
        <v>1</v>
      </c>
      <c r="D214" s="25" t="s">
        <v>52</v>
      </c>
      <c r="E214" s="5">
        <v>0.36686054900417653</v>
      </c>
      <c r="F214" s="6">
        <v>1.3188847509159209</v>
      </c>
      <c r="G214" s="6">
        <v>0.48231941805069894</v>
      </c>
      <c r="H214" s="6">
        <v>0.3055797986863068</v>
      </c>
      <c r="I214" s="6">
        <v>0.33513737927595166</v>
      </c>
      <c r="J214" s="6">
        <v>0.40656354548627022</v>
      </c>
      <c r="K214" s="6">
        <v>0.25273964662141679</v>
      </c>
      <c r="L214" s="6">
        <v>0.35347473408044117</v>
      </c>
      <c r="M214" s="7">
        <v>0.41405210695553585</v>
      </c>
    </row>
    <row r="215" spans="3:13" x14ac:dyDescent="0.3">
      <c r="C215" s="20" t="s">
        <v>1</v>
      </c>
      <c r="D215" s="25" t="s">
        <v>53</v>
      </c>
      <c r="E215" s="5">
        <v>0.21335636802662303</v>
      </c>
      <c r="F215" s="6">
        <v>0.20129123316904451</v>
      </c>
      <c r="G215" s="6">
        <v>1.2433614794362453</v>
      </c>
      <c r="H215" s="6">
        <v>0.26979888851122691</v>
      </c>
      <c r="I215" s="6">
        <v>0.31065503472159828</v>
      </c>
      <c r="J215" s="6">
        <v>0.23422779003124158</v>
      </c>
      <c r="K215" s="6">
        <v>0.25137842642395064</v>
      </c>
      <c r="L215" s="6">
        <v>0.26235350916601835</v>
      </c>
      <c r="M215" s="7">
        <v>0.34143398486884957</v>
      </c>
    </row>
    <row r="216" spans="3:13" x14ac:dyDescent="0.3">
      <c r="C216" s="20" t="s">
        <v>10</v>
      </c>
      <c r="D216" s="25" t="str">
        <f>+D213</f>
        <v>Agr</v>
      </c>
      <c r="E216" s="5">
        <v>0.53616388820590344</v>
      </c>
      <c r="F216" s="6">
        <v>0.5087603706310706</v>
      </c>
      <c r="G216" s="6">
        <v>0.60684136933061061</v>
      </c>
      <c r="H216" s="6">
        <v>1.4729857144433494</v>
      </c>
      <c r="I216" s="6">
        <v>0.66326704054429597</v>
      </c>
      <c r="J216" s="6">
        <v>0.5312551557630758</v>
      </c>
      <c r="K216" s="6">
        <v>0.48324890819987992</v>
      </c>
      <c r="L216" s="6">
        <v>0.57893931164150159</v>
      </c>
      <c r="M216" s="7">
        <v>0.62966759435011854</v>
      </c>
    </row>
    <row r="217" spans="3:13" x14ac:dyDescent="0.3">
      <c r="C217" s="20" t="s">
        <v>10</v>
      </c>
      <c r="D217" s="25" t="str">
        <f t="shared" ref="D217:D221" si="51">+D214</f>
        <v>Ind</v>
      </c>
      <c r="E217" s="5">
        <v>0.32300601881904273</v>
      </c>
      <c r="F217" s="6">
        <v>0.29589898299819456</v>
      </c>
      <c r="G217" s="6">
        <v>0.38533172623002476</v>
      </c>
      <c r="H217" s="6">
        <v>0.32786249268965634</v>
      </c>
      <c r="I217" s="6">
        <v>1.4475130293771468</v>
      </c>
      <c r="J217" s="6">
        <v>0.31334045975521846</v>
      </c>
      <c r="K217" s="6">
        <v>0.34868482777717646</v>
      </c>
      <c r="L217" s="6">
        <v>0.30834072092775827</v>
      </c>
      <c r="M217" s="7">
        <v>0.45331459721214146</v>
      </c>
    </row>
    <row r="218" spans="3:13" x14ac:dyDescent="0.3">
      <c r="C218" s="20" t="s">
        <v>10</v>
      </c>
      <c r="D218" s="25" t="str">
        <f t="shared" si="51"/>
        <v>Serv</v>
      </c>
      <c r="E218" s="5">
        <v>0.28257267316413581</v>
      </c>
      <c r="F218" s="6">
        <v>0.2728779780853644</v>
      </c>
      <c r="G218" s="6">
        <v>0.32034459794442255</v>
      </c>
      <c r="H218" s="6">
        <v>0.21950889373660212</v>
      </c>
      <c r="I218" s="6">
        <v>0.38719924417926616</v>
      </c>
      <c r="J218" s="6">
        <v>1.2285058819332242</v>
      </c>
      <c r="K218" s="6">
        <v>0.20334980626662028</v>
      </c>
      <c r="L218" s="6">
        <v>0.29467468611786818</v>
      </c>
      <c r="M218" s="7">
        <v>0.27551283112961378</v>
      </c>
    </row>
    <row r="219" spans="3:13" x14ac:dyDescent="0.3">
      <c r="C219" s="20" t="s">
        <v>11</v>
      </c>
      <c r="D219" s="25" t="str">
        <f t="shared" si="51"/>
        <v>Agr</v>
      </c>
      <c r="E219" s="5">
        <v>0.43333230323279376</v>
      </c>
      <c r="F219" s="6">
        <v>0.53609547247053257</v>
      </c>
      <c r="G219" s="6">
        <v>0.62297302084061623</v>
      </c>
      <c r="H219" s="6">
        <v>0.46721921490881402</v>
      </c>
      <c r="I219" s="6">
        <v>0.61616320346508324</v>
      </c>
      <c r="J219" s="6">
        <v>0.38319410416085475</v>
      </c>
      <c r="K219" s="6">
        <v>1.4295238753446191</v>
      </c>
      <c r="L219" s="6">
        <v>0.53841129598074666</v>
      </c>
      <c r="M219" s="7">
        <v>0.58853963067707249</v>
      </c>
    </row>
    <row r="220" spans="3:13" x14ac:dyDescent="0.3">
      <c r="C220" s="20" t="s">
        <v>11</v>
      </c>
      <c r="D220" s="25" t="str">
        <f t="shared" si="51"/>
        <v>Ind</v>
      </c>
      <c r="E220" s="5">
        <v>0.23814532211648443</v>
      </c>
      <c r="F220" s="6">
        <v>0.35754842669756548</v>
      </c>
      <c r="G220" s="6">
        <v>0.28650971636309569</v>
      </c>
      <c r="H220" s="6">
        <v>0.30910421533674387</v>
      </c>
      <c r="I220" s="6">
        <v>0.24803841938826901</v>
      </c>
      <c r="J220" s="6">
        <v>0.22741748547201521</v>
      </c>
      <c r="K220" s="6">
        <v>0.28240329015458621</v>
      </c>
      <c r="L220" s="6">
        <v>1.3841927203409812</v>
      </c>
      <c r="M220" s="7">
        <v>0.28274983406574922</v>
      </c>
    </row>
    <row r="221" spans="3:13" x14ac:dyDescent="0.3">
      <c r="C221" s="20" t="s">
        <v>11</v>
      </c>
      <c r="D221" s="25" t="str">
        <f t="shared" si="51"/>
        <v>Serv</v>
      </c>
      <c r="E221" s="9">
        <v>0.33515752955432715</v>
      </c>
      <c r="F221" s="10">
        <v>0.22846495026560509</v>
      </c>
      <c r="G221" s="10">
        <v>0.32564265351850391</v>
      </c>
      <c r="H221" s="10">
        <v>0.29918752736400578</v>
      </c>
      <c r="I221" s="10">
        <v>0.24510406162697901</v>
      </c>
      <c r="J221" s="10">
        <v>0.20038425508820698</v>
      </c>
      <c r="K221" s="10">
        <v>0.21416186107898147</v>
      </c>
      <c r="L221" s="10">
        <v>0.22323633291093217</v>
      </c>
      <c r="M221" s="11">
        <v>1.348568740533215</v>
      </c>
    </row>
    <row r="223" spans="3:13" x14ac:dyDescent="0.3">
      <c r="E223" s="16"/>
      <c r="F223" s="16"/>
      <c r="G223" s="18"/>
      <c r="I223" s="16"/>
      <c r="L223" s="16"/>
    </row>
    <row r="224" spans="3:13" x14ac:dyDescent="0.3">
      <c r="E224" s="16"/>
      <c r="F224" s="16"/>
      <c r="G224" s="18"/>
      <c r="I224" s="16"/>
      <c r="L224" s="16"/>
    </row>
    <row r="225" spans="5:12" x14ac:dyDescent="0.3">
      <c r="E225" s="16"/>
      <c r="F225" s="16"/>
      <c r="G225" s="18"/>
      <c r="I225" s="16"/>
      <c r="L225" s="16"/>
    </row>
    <row r="226" spans="5:12" x14ac:dyDescent="0.3">
      <c r="E226" s="16"/>
      <c r="F226" s="16"/>
      <c r="G226" s="18"/>
      <c r="I226" s="16"/>
      <c r="L226" s="16"/>
    </row>
    <row r="227" spans="5:12" x14ac:dyDescent="0.3">
      <c r="E227" s="16"/>
      <c r="F227" s="16"/>
      <c r="G227" s="18"/>
      <c r="I227" s="16"/>
      <c r="L227" s="16"/>
    </row>
    <row r="228" spans="5:12" x14ac:dyDescent="0.3">
      <c r="E228" s="16"/>
      <c r="F228" s="16"/>
      <c r="G228" s="18"/>
      <c r="I228" s="16"/>
      <c r="L228" s="16"/>
    </row>
    <row r="229" spans="5:12" x14ac:dyDescent="0.3">
      <c r="E229" s="16"/>
      <c r="F229" s="16"/>
      <c r="G229" s="18"/>
      <c r="I229" s="16"/>
      <c r="L229" s="16"/>
    </row>
    <row r="230" spans="5:12" x14ac:dyDescent="0.3">
      <c r="E230" s="16"/>
      <c r="F230" s="16"/>
      <c r="G230" s="18"/>
      <c r="I230" s="16"/>
      <c r="L230" s="16"/>
    </row>
    <row r="231" spans="5:12" x14ac:dyDescent="0.3">
      <c r="E231" s="16"/>
      <c r="F231" s="16"/>
      <c r="G231" s="18"/>
      <c r="I231" s="16"/>
      <c r="L231" s="16"/>
    </row>
    <row r="234" spans="5:12" x14ac:dyDescent="0.3">
      <c r="E234" s="16"/>
    </row>
    <row r="235" spans="5:12" x14ac:dyDescent="0.3">
      <c r="E235" s="16"/>
      <c r="F235" s="18"/>
    </row>
    <row r="236" spans="5:12" x14ac:dyDescent="0.3">
      <c r="E236" s="16"/>
      <c r="F236" s="18"/>
    </row>
    <row r="237" spans="5:12" x14ac:dyDescent="0.3">
      <c r="E237" s="16"/>
      <c r="F237" s="18"/>
    </row>
    <row r="238" spans="5:12" x14ac:dyDescent="0.3">
      <c r="E238" s="16"/>
      <c r="F238" s="18"/>
    </row>
    <row r="239" spans="5:12" x14ac:dyDescent="0.3">
      <c r="E239" s="16"/>
      <c r="F239" s="18"/>
    </row>
    <row r="240" spans="5:12" x14ac:dyDescent="0.3">
      <c r="E240" s="16"/>
      <c r="F240" s="18"/>
    </row>
    <row r="241" spans="5:6" x14ac:dyDescent="0.3">
      <c r="E241" s="16"/>
      <c r="F241" s="18"/>
    </row>
    <row r="242" spans="5:6" x14ac:dyDescent="0.3">
      <c r="E242" s="16"/>
      <c r="F242" s="18"/>
    </row>
    <row r="243" spans="5:6" x14ac:dyDescent="0.3">
      <c r="F243" s="18"/>
    </row>
  </sheetData>
  <conditionalFormatting sqref="E106:M114">
    <cfRule type="expression" dxfId="8" priority="1">
      <formula>E106&lt;0</formula>
    </cfRule>
  </conditionalFormatting>
  <conditionalFormatting sqref="E131:M133">
    <cfRule type="expression" dxfId="7" priority="3">
      <formula>E131&lt;0</formula>
    </cfRule>
  </conditionalFormatting>
  <conditionalFormatting sqref="E137:M145">
    <cfRule type="expression" dxfId="6" priority="4">
      <formula>E137&lt;0</formula>
    </cfRule>
  </conditionalFormatting>
  <conditionalFormatting sqref="O137:W1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1149-6AC3-4480-B90F-51F4F0B8E153}">
  <dimension ref="A3:Y243"/>
  <sheetViews>
    <sheetView showGridLines="0" topLeftCell="A165" zoomScaleNormal="100" workbookViewId="0">
      <selection activeCell="N184" sqref="N184"/>
    </sheetView>
  </sheetViews>
  <sheetFormatPr defaultRowHeight="14.4" x14ac:dyDescent="0.3"/>
  <cols>
    <col min="1" max="1" width="12.6640625" style="65" customWidth="1"/>
    <col min="2" max="23" width="12.6640625" customWidth="1"/>
  </cols>
  <sheetData>
    <row r="3" spans="3:18" ht="15" thickBot="1" x14ac:dyDescent="0.35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" thickBot="1" x14ac:dyDescent="0.35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3">
      <c r="C5" s="20" t="s">
        <v>1</v>
      </c>
      <c r="D5" s="28" t="s">
        <v>51</v>
      </c>
      <c r="E5" s="82" cm="1">
        <f t="array" ref="E5:M13">+'IO_sub_model (3)'!E150:M158</f>
        <v>7.6500075931796747</v>
      </c>
      <c r="F5" s="83">
        <v>4.0043315891933213</v>
      </c>
      <c r="G5" s="83">
        <v>7.6500075931796729</v>
      </c>
      <c r="H5" s="83">
        <v>1.0598953515992529</v>
      </c>
      <c r="I5" s="83">
        <v>0.39850620578552221</v>
      </c>
      <c r="J5" s="83">
        <v>6.1080508883701734</v>
      </c>
      <c r="K5" s="83">
        <v>2.562001435830203</v>
      </c>
      <c r="L5" s="83">
        <v>5.5462882940028218</v>
      </c>
      <c r="M5" s="84">
        <v>1.8209110488593667</v>
      </c>
      <c r="N5" s="24">
        <f>+O5-SUM(E5:M5)</f>
        <v>30.610989010989002</v>
      </c>
      <c r="O5" s="29" cm="1">
        <f t="array" ref="O5:O13">+TRANSPOSE(_xlfn.ANCHORARRAY(E15))</f>
        <v>67.410989010989013</v>
      </c>
      <c r="P5" s="62" cm="1">
        <f t="array" ref="P5:P13">+MMULT(E21:M29,O5:O13)</f>
        <v>36.800000000000011</v>
      </c>
      <c r="Q5" s="61">
        <f>+P5+N5</f>
        <v>67.410989010989013</v>
      </c>
      <c r="R5" s="61" t="b">
        <f>+Q5=O5</f>
        <v>1</v>
      </c>
    </row>
    <row r="6" spans="3:18" x14ac:dyDescent="0.3">
      <c r="C6" s="20" t="s">
        <v>1</v>
      </c>
      <c r="D6" s="25" t="s">
        <v>52</v>
      </c>
      <c r="E6" s="85">
        <v>7.1700599413488515</v>
      </c>
      <c r="F6" s="86">
        <v>3.7551621652501086</v>
      </c>
      <c r="G6" s="86">
        <v>7.842241853126672</v>
      </c>
      <c r="H6" s="86">
        <v>4.8976764728344921</v>
      </c>
      <c r="I6" s="86">
        <v>1.9725424594799619</v>
      </c>
      <c r="J6" s="86">
        <v>8.7377938535216373</v>
      </c>
      <c r="K6" s="86">
        <v>2.290647390102226</v>
      </c>
      <c r="L6" s="86">
        <v>4.8906249378578739</v>
      </c>
      <c r="M6" s="87">
        <v>6.4432509264781803</v>
      </c>
      <c r="N6" s="24">
        <f t="shared" ref="N6:N13" si="0">+O6-SUM(E6:M6)</f>
        <v>4.219780219780219</v>
      </c>
      <c r="O6" s="30">
        <v>52.219780219780219</v>
      </c>
      <c r="P6" s="62">
        <v>48</v>
      </c>
      <c r="Q6" s="61">
        <f t="shared" ref="Q6:Q13" si="1">+P6+N6</f>
        <v>52.219780219780219</v>
      </c>
      <c r="R6" s="61" t="b">
        <f t="shared" ref="R6:R13" si="2">+Q6=O6</f>
        <v>1</v>
      </c>
    </row>
    <row r="7" spans="3:18" x14ac:dyDescent="0.3">
      <c r="C7" s="20" t="s">
        <v>1</v>
      </c>
      <c r="D7" s="25" t="s">
        <v>53</v>
      </c>
      <c r="E7" s="85">
        <v>1.3976607149029652</v>
      </c>
      <c r="F7" s="86">
        <v>0.62076411684362376</v>
      </c>
      <c r="G7" s="86">
        <v>0.70944470496414203</v>
      </c>
      <c r="H7" s="86">
        <v>6.6444061229402367</v>
      </c>
      <c r="I7" s="86">
        <v>4.0375079522929695</v>
      </c>
      <c r="J7" s="86">
        <v>3.4167438354493451</v>
      </c>
      <c r="K7" s="86">
        <v>6.0236420060966136</v>
      </c>
      <c r="L7" s="86">
        <v>3.7714661879314164</v>
      </c>
      <c r="M7" s="87">
        <v>6.3783643585786862</v>
      </c>
      <c r="N7" s="24">
        <f t="shared" si="0"/>
        <v>11.624175824175829</v>
      </c>
      <c r="O7" s="30">
        <v>44.624175824175829</v>
      </c>
      <c r="P7" s="62">
        <v>33</v>
      </c>
      <c r="Q7" s="61">
        <f t="shared" si="1"/>
        <v>44.624175824175829</v>
      </c>
      <c r="R7" s="61" t="b">
        <f t="shared" si="2"/>
        <v>1</v>
      </c>
    </row>
    <row r="8" spans="3:18" x14ac:dyDescent="0.3">
      <c r="C8" s="20" t="s">
        <v>10</v>
      </c>
      <c r="D8" s="25" t="str">
        <f>+D5</f>
        <v>Agr</v>
      </c>
      <c r="E8" s="85">
        <v>8.9172687590154069</v>
      </c>
      <c r="F8" s="86">
        <v>5.8119918096635894</v>
      </c>
      <c r="G8" s="86">
        <v>5.3114433756076114</v>
      </c>
      <c r="H8" s="86">
        <v>6.9233969990883386</v>
      </c>
      <c r="I8" s="86">
        <v>9.4178171930713876</v>
      </c>
      <c r="J8" s="86">
        <v>8.3657271524514609</v>
      </c>
      <c r="K8" s="86">
        <v>9.4178171930713894</v>
      </c>
      <c r="L8" s="86">
        <v>9.2481937229537756</v>
      </c>
      <c r="M8" s="87">
        <v>8.5863437950770418</v>
      </c>
      <c r="N8" s="24">
        <f t="shared" si="0"/>
        <v>5.8549450549450199</v>
      </c>
      <c r="O8" s="30">
        <v>77.85494505494502</v>
      </c>
      <c r="P8" s="62">
        <v>72</v>
      </c>
      <c r="Q8" s="61">
        <f t="shared" si="1"/>
        <v>77.85494505494502</v>
      </c>
      <c r="R8" s="61" t="b">
        <f t="shared" si="2"/>
        <v>1</v>
      </c>
    </row>
    <row r="9" spans="3:18" x14ac:dyDescent="0.3">
      <c r="C9" s="20" t="s">
        <v>10</v>
      </c>
      <c r="D9" s="25" t="str">
        <f t="shared" ref="D9:D13" si="3">+D6</f>
        <v>Ind</v>
      </c>
      <c r="E9" s="85">
        <v>4.0599836325576142</v>
      </c>
      <c r="F9" s="86">
        <v>2.2451689347608381</v>
      </c>
      <c r="G9" s="86">
        <v>3.1126055696084078</v>
      </c>
      <c r="H9" s="86">
        <v>6.055112584194914</v>
      </c>
      <c r="I9" s="86">
        <v>6.6163718200030646</v>
      </c>
      <c r="J9" s="86">
        <v>4.0821013374691182</v>
      </c>
      <c r="K9" s="86">
        <v>8.7254619107463842</v>
      </c>
      <c r="L9" s="86">
        <v>2.3472280677739783</v>
      </c>
      <c r="M9" s="87">
        <v>7.7559661428856757</v>
      </c>
      <c r="N9" s="24">
        <f t="shared" si="0"/>
        <v>2.4725274725274673</v>
      </c>
      <c r="O9" s="30">
        <v>47.47252747252746</v>
      </c>
      <c r="P9" s="62">
        <v>44.999999999999993</v>
      </c>
      <c r="Q9" s="61">
        <f t="shared" si="1"/>
        <v>47.47252747252746</v>
      </c>
      <c r="R9" s="61" t="b">
        <f t="shared" si="2"/>
        <v>1</v>
      </c>
    </row>
    <row r="10" spans="3:18" x14ac:dyDescent="0.3">
      <c r="C10" s="20" t="s">
        <v>10</v>
      </c>
      <c r="D10" s="25" t="str">
        <f t="shared" si="3"/>
        <v>Serv</v>
      </c>
      <c r="E10" s="85">
        <v>5.8093578849864453</v>
      </c>
      <c r="F10" s="86">
        <v>4.2642115679389159</v>
      </c>
      <c r="G10" s="86">
        <v>3.6371016604760871</v>
      </c>
      <c r="H10" s="86">
        <v>2.4141581226187148</v>
      </c>
      <c r="I10" s="86">
        <v>7.7132028899775396</v>
      </c>
      <c r="J10" s="86">
        <v>2.0066611686755054</v>
      </c>
      <c r="K10" s="86">
        <v>1.7557719380876002</v>
      </c>
      <c r="L10" s="86">
        <v>5.2675421522766692</v>
      </c>
      <c r="M10" s="87">
        <v>2.1319926149625257</v>
      </c>
      <c r="N10" s="24">
        <f t="shared" si="0"/>
        <v>17.219780219780219</v>
      </c>
      <c r="O10" s="30">
        <v>52.219780219780233</v>
      </c>
      <c r="P10" s="62">
        <v>35.000000000000014</v>
      </c>
      <c r="Q10" s="61">
        <f t="shared" si="1"/>
        <v>52.219780219780233</v>
      </c>
      <c r="R10" s="61" t="b">
        <f t="shared" si="2"/>
        <v>1</v>
      </c>
    </row>
    <row r="11" spans="3:18" x14ac:dyDescent="0.3">
      <c r="C11" s="20" t="s">
        <v>11</v>
      </c>
      <c r="D11" s="25" t="str">
        <f t="shared" si="3"/>
        <v>Agr</v>
      </c>
      <c r="E11" s="85">
        <v>4.3206357357170058</v>
      </c>
      <c r="F11" s="86">
        <v>9.1726875901540783</v>
      </c>
      <c r="G11" s="86">
        <v>7.9264611191248084</v>
      </c>
      <c r="H11" s="86">
        <v>8.1573669899717434</v>
      </c>
      <c r="I11" s="86">
        <v>9.1726875901540765</v>
      </c>
      <c r="J11" s="86">
        <v>1.6668812998377083</v>
      </c>
      <c r="K11" s="86">
        <v>7.0091923601093997</v>
      </c>
      <c r="L11" s="86">
        <v>8.9417817193071372</v>
      </c>
      <c r="M11" s="87">
        <v>7.6323055956240378</v>
      </c>
      <c r="N11" s="24">
        <f t="shared" si="0"/>
        <v>11.00659340659341</v>
      </c>
      <c r="O11" s="30">
        <v>75.00659340659341</v>
      </c>
      <c r="P11" s="62">
        <v>63.999999999999993</v>
      </c>
      <c r="Q11" s="61">
        <f t="shared" si="1"/>
        <v>75.006593406593396</v>
      </c>
      <c r="R11" s="61" t="b">
        <f t="shared" si="2"/>
        <v>1</v>
      </c>
    </row>
    <row r="12" spans="3:18" x14ac:dyDescent="0.3">
      <c r="C12" s="20" t="s">
        <v>11</v>
      </c>
      <c r="D12" s="25" t="str">
        <f t="shared" si="3"/>
        <v>Ind</v>
      </c>
      <c r="E12" s="85">
        <v>1.8009016419350146</v>
      </c>
      <c r="F12" s="86">
        <v>6.9962305426733309</v>
      </c>
      <c r="G12" s="86">
        <v>1.0419787089734893</v>
      </c>
      <c r="H12" s="86">
        <v>8.0421856515091505</v>
      </c>
      <c r="I12" s="86">
        <v>0.40870531929839937</v>
      </c>
      <c r="J12" s="86">
        <v>1.1764019626692392</v>
      </c>
      <c r="K12" s="86">
        <v>6.9791298967142437</v>
      </c>
      <c r="L12" s="86">
        <v>8.7579151699795652</v>
      </c>
      <c r="M12" s="87">
        <v>1.7965511062475741</v>
      </c>
      <c r="N12" s="24">
        <f t="shared" si="0"/>
        <v>24.714285714285687</v>
      </c>
      <c r="O12" s="30">
        <v>61.714285714285701</v>
      </c>
      <c r="P12" s="62">
        <v>37.000000000000014</v>
      </c>
      <c r="Q12" s="61">
        <f t="shared" si="1"/>
        <v>61.714285714285701</v>
      </c>
      <c r="R12" s="61" t="b">
        <f t="shared" si="2"/>
        <v>1</v>
      </c>
    </row>
    <row r="13" spans="3:18" x14ac:dyDescent="0.3">
      <c r="C13" s="20" t="s">
        <v>11</v>
      </c>
      <c r="D13" s="25" t="str">
        <f t="shared" si="3"/>
        <v>Serv</v>
      </c>
      <c r="E13" s="88">
        <v>8.7363715467097425</v>
      </c>
      <c r="F13" s="89">
        <v>2.1195273717379814</v>
      </c>
      <c r="G13" s="89">
        <v>3.6585999848689394</v>
      </c>
      <c r="H13" s="89">
        <v>8.9530150426366717</v>
      </c>
      <c r="I13" s="89">
        <v>1.2576519769818864</v>
      </c>
      <c r="J13" s="89">
        <v>0.580454758607025</v>
      </c>
      <c r="K13" s="89">
        <v>3.2276622874908916</v>
      </c>
      <c r="L13" s="89">
        <v>0.96742459767837408</v>
      </c>
      <c r="M13" s="90">
        <v>6.4992924332884829</v>
      </c>
      <c r="N13" s="24">
        <f t="shared" si="0"/>
        <v>20.967032967032999</v>
      </c>
      <c r="O13" s="31">
        <v>56.967032967032992</v>
      </c>
      <c r="P13" s="62">
        <v>35.999999999999993</v>
      </c>
      <c r="Q13" s="61">
        <f t="shared" si="1"/>
        <v>56.967032967032992</v>
      </c>
      <c r="R13" s="61" t="b">
        <f t="shared" si="2"/>
        <v>1</v>
      </c>
    </row>
    <row r="14" spans="3:18" x14ac:dyDescent="0.3">
      <c r="D14" s="22" t="s">
        <v>9</v>
      </c>
      <c r="E14" s="13">
        <f>+E15-SUM(E5:E13)</f>
        <v>17.548741560636294</v>
      </c>
      <c r="F14" s="13">
        <f t="shared" ref="F14:M14" si="4">+F15-SUM(F5:F13)</f>
        <v>13.229704531564437</v>
      </c>
      <c r="G14" s="13">
        <f t="shared" si="4"/>
        <v>3.7342912542459956</v>
      </c>
      <c r="H14" s="13">
        <f t="shared" si="4"/>
        <v>24.707731717551503</v>
      </c>
      <c r="I14" s="13">
        <f t="shared" si="4"/>
        <v>6.4775340654826579</v>
      </c>
      <c r="J14" s="13">
        <f t="shared" si="4"/>
        <v>16.07896396272902</v>
      </c>
      <c r="K14" s="13">
        <f t="shared" si="4"/>
        <v>27.015266988344457</v>
      </c>
      <c r="L14" s="13">
        <f t="shared" si="4"/>
        <v>11.975820864524088</v>
      </c>
      <c r="M14" s="13">
        <f t="shared" si="4"/>
        <v>7.9220549450314195</v>
      </c>
      <c r="N14" s="19">
        <f>+SUM(E5:M13)</f>
        <v>406.8</v>
      </c>
      <c r="R14" s="18"/>
    </row>
    <row r="15" spans="3:18" x14ac:dyDescent="0.3">
      <c r="D15" s="20" t="s">
        <v>8</v>
      </c>
      <c r="E15" s="130" cm="1">
        <f t="array" ref="E15:M15">+'IO_sub_model (3)'!E184:M184</f>
        <v>67.410989010989013</v>
      </c>
      <c r="F15" s="131">
        <v>52.219780219780219</v>
      </c>
      <c r="G15" s="131">
        <v>44.624175824175829</v>
      </c>
      <c r="H15" s="131">
        <v>77.85494505494502</v>
      </c>
      <c r="I15" s="131">
        <v>47.47252747252746</v>
      </c>
      <c r="J15" s="131">
        <v>52.219780219780233</v>
      </c>
      <c r="K15" s="131">
        <v>75.00659340659341</v>
      </c>
      <c r="L15" s="131">
        <v>61.714285714285701</v>
      </c>
      <c r="M15" s="132">
        <v>56.967032967032992</v>
      </c>
      <c r="R15" s="18"/>
    </row>
    <row r="16" spans="3:18" x14ac:dyDescent="0.3">
      <c r="E16" s="97" cm="1">
        <f t="array" ref="E16:M16">+TRANSPOSE(O5:O13)</f>
        <v>67.410989010989013</v>
      </c>
      <c r="F16" s="97">
        <v>52.219780219780219</v>
      </c>
      <c r="G16" s="97">
        <v>44.624175824175829</v>
      </c>
      <c r="H16" s="97">
        <v>77.85494505494502</v>
      </c>
      <c r="I16" s="97">
        <v>47.47252747252746</v>
      </c>
      <c r="J16" s="97">
        <v>52.219780219780233</v>
      </c>
      <c r="K16" s="97">
        <v>75.00659340659341</v>
      </c>
      <c r="L16" s="97">
        <v>61.714285714285701</v>
      </c>
      <c r="M16" s="97">
        <v>56.967032967032992</v>
      </c>
      <c r="R16" s="18"/>
    </row>
    <row r="17" spans="3:18" x14ac:dyDescent="0.3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3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" thickBot="1" x14ac:dyDescent="0.35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" thickBot="1" x14ac:dyDescent="0.35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3">
      <c r="C21" s="20" t="s">
        <v>1</v>
      </c>
      <c r="D21" s="28" t="s">
        <v>51</v>
      </c>
      <c r="E21" s="82" cm="1">
        <f t="array" ref="E21:M29">+'IO_sub_model (3)'!E200:M208</f>
        <v>0.11348309386074439</v>
      </c>
      <c r="F21" s="83">
        <v>7.668227580315494E-2</v>
      </c>
      <c r="G21" s="83">
        <v>0.17143190774708189</v>
      </c>
      <c r="H21" s="83">
        <v>1.3613719088122749E-2</v>
      </c>
      <c r="I21" s="83">
        <v>8.3944594274265108E-3</v>
      </c>
      <c r="J21" s="83">
        <v>0.11696814622089344</v>
      </c>
      <c r="K21" s="83">
        <v>3.4157016329780306E-2</v>
      </c>
      <c r="L21" s="83">
        <v>8.9870412171342035E-2</v>
      </c>
      <c r="M21" s="84">
        <v>3.1964295032060629E-2</v>
      </c>
    </row>
    <row r="22" spans="3:18" x14ac:dyDescent="0.3">
      <c r="C22" s="20" t="s">
        <v>1</v>
      </c>
      <c r="D22" s="25" t="s">
        <v>52</v>
      </c>
      <c r="E22" s="85">
        <v>0.10636336963072925</v>
      </c>
      <c r="F22" s="86">
        <v>7.1910723282356884E-2</v>
      </c>
      <c r="G22" s="86">
        <v>0.17573975783947179</v>
      </c>
      <c r="H22" s="86">
        <v>6.2907712148252456E-2</v>
      </c>
      <c r="I22" s="86">
        <v>4.1551241623304765E-2</v>
      </c>
      <c r="J22" s="86">
        <v>0.16732728128587307</v>
      </c>
      <c r="K22" s="86">
        <v>3.0539280429457125E-2</v>
      </c>
      <c r="L22" s="86">
        <v>7.9246237418993337E-2</v>
      </c>
      <c r="M22" s="87">
        <v>0.11310490630970566</v>
      </c>
    </row>
    <row r="23" spans="3:18" x14ac:dyDescent="0.3">
      <c r="C23" s="20" t="s">
        <v>1</v>
      </c>
      <c r="D23" s="25" t="s">
        <v>53</v>
      </c>
      <c r="E23" s="85">
        <v>2.0733425446037075E-2</v>
      </c>
      <c r="F23" s="86">
        <v>1.1887528331811819E-2</v>
      </c>
      <c r="G23" s="86">
        <v>1.589821418236232E-2</v>
      </c>
      <c r="H23" s="86">
        <v>8.5343405203754774E-2</v>
      </c>
      <c r="I23" s="86">
        <v>8.5049357328393596E-2</v>
      </c>
      <c r="J23" s="86">
        <v>6.5430069239455033E-2</v>
      </c>
      <c r="K23" s="86">
        <v>8.030816668934479E-2</v>
      </c>
      <c r="L23" s="86">
        <v>6.1111720637777596E-2</v>
      </c>
      <c r="M23" s="87">
        <v>0.1119658866957292</v>
      </c>
    </row>
    <row r="24" spans="3:18" x14ac:dyDescent="0.3">
      <c r="C24" s="20" t="s">
        <v>10</v>
      </c>
      <c r="D24" s="25" t="str">
        <f>+D21</f>
        <v>Agr</v>
      </c>
      <c r="E24" s="85">
        <v>0.13228212328351624</v>
      </c>
      <c r="F24" s="86">
        <v>0.11129866470525814</v>
      </c>
      <c r="G24" s="86">
        <v>0.11902613947505235</v>
      </c>
      <c r="H24" s="86">
        <v>8.8926875411732026E-2</v>
      </c>
      <c r="I24" s="86">
        <v>0.19838457513182789</v>
      </c>
      <c r="J24" s="86">
        <v>0.16020226659787096</v>
      </c>
      <c r="K24" s="86">
        <v>0.12555985767837208</v>
      </c>
      <c r="L24" s="86">
        <v>0.14985499088119547</v>
      </c>
      <c r="M24" s="87">
        <v>0.15072478498302672</v>
      </c>
    </row>
    <row r="25" spans="3:18" x14ac:dyDescent="0.3">
      <c r="C25" s="20" t="s">
        <v>10</v>
      </c>
      <c r="D25" s="25" t="str">
        <f t="shared" ref="D25:D29" si="6">+D22</f>
        <v>Ind</v>
      </c>
      <c r="E25" s="85">
        <v>6.022732631760936E-2</v>
      </c>
      <c r="F25" s="86">
        <v>4.2994607126101911E-2</v>
      </c>
      <c r="G25" s="86">
        <v>6.9751553101449246E-2</v>
      </c>
      <c r="H25" s="86">
        <v>7.77742837005614E-2</v>
      </c>
      <c r="I25" s="86">
        <v>0.13937264713432385</v>
      </c>
      <c r="J25" s="86">
        <v>7.8171553390086204E-2</v>
      </c>
      <c r="K25" s="86">
        <v>0.11632926539467899</v>
      </c>
      <c r="L25" s="86">
        <v>3.8033788135226509E-2</v>
      </c>
      <c r="M25" s="87">
        <v>0.13614832542488353</v>
      </c>
    </row>
    <row r="26" spans="3:18" x14ac:dyDescent="0.3">
      <c r="C26" s="20" t="s">
        <v>10</v>
      </c>
      <c r="D26" s="25" t="str">
        <f t="shared" si="6"/>
        <v>Serv</v>
      </c>
      <c r="E26" s="85">
        <v>8.617820284522798E-2</v>
      </c>
      <c r="F26" s="86">
        <v>8.165893364529489E-2</v>
      </c>
      <c r="G26" s="86">
        <v>8.1505183979344933E-2</v>
      </c>
      <c r="H26" s="86">
        <v>3.1008410845514783E-2</v>
      </c>
      <c r="I26" s="86">
        <v>0.16247719050647136</v>
      </c>
      <c r="J26" s="86">
        <v>3.8427223558390351E-2</v>
      </c>
      <c r="K26" s="86">
        <v>2.3408234641053037E-2</v>
      </c>
      <c r="L26" s="86">
        <v>8.5353692282260862E-2</v>
      </c>
      <c r="M26" s="87">
        <v>3.7425024683948642E-2</v>
      </c>
    </row>
    <row r="27" spans="3:18" x14ac:dyDescent="0.3">
      <c r="C27" s="20" t="s">
        <v>11</v>
      </c>
      <c r="D27" s="25" t="str">
        <f t="shared" si="6"/>
        <v>Agr</v>
      </c>
      <c r="E27" s="85">
        <v>6.4093937785316815E-2</v>
      </c>
      <c r="F27" s="86">
        <v>0.17565542312795057</v>
      </c>
      <c r="G27" s="86">
        <v>0.17762705916084454</v>
      </c>
      <c r="H27" s="86">
        <v>0.10477647867087694</v>
      </c>
      <c r="I27" s="86">
        <v>0.19322096544074566</v>
      </c>
      <c r="J27" s="86">
        <v>3.1920496272144661E-2</v>
      </c>
      <c r="K27" s="86">
        <v>9.3447682953872971E-2</v>
      </c>
      <c r="L27" s="86">
        <v>0.14488998156284716</v>
      </c>
      <c r="M27" s="87">
        <v>0.1339775866515793</v>
      </c>
    </row>
    <row r="28" spans="3:18" x14ac:dyDescent="0.3">
      <c r="C28" s="20" t="s">
        <v>11</v>
      </c>
      <c r="D28" s="25" t="str">
        <f t="shared" si="6"/>
        <v>Ind</v>
      </c>
      <c r="E28" s="85">
        <v>2.6715253230321843E-2</v>
      </c>
      <c r="F28" s="86">
        <v>0.13397663707560462</v>
      </c>
      <c r="G28" s="86">
        <v>2.3350094197347203E-2</v>
      </c>
      <c r="H28" s="86">
        <v>0.10329704357036656</v>
      </c>
      <c r="I28" s="86">
        <v>8.6093018648505451E-3</v>
      </c>
      <c r="J28" s="86">
        <v>2.2527899537647462E-2</v>
      </c>
      <c r="K28" s="86">
        <v>9.3046885343558969E-2</v>
      </c>
      <c r="L28" s="86">
        <v>0.14191066247652076</v>
      </c>
      <c r="M28" s="87">
        <v>3.1536680298713191E-2</v>
      </c>
    </row>
    <row r="29" spans="3:18" x14ac:dyDescent="0.3">
      <c r="C29" s="20" t="s">
        <v>11</v>
      </c>
      <c r="D29" s="25" t="str">
        <f t="shared" si="6"/>
        <v>Serv</v>
      </c>
      <c r="E29" s="88">
        <v>0.12959862590482957</v>
      </c>
      <c r="F29" s="89">
        <v>4.0588592345992491E-2</v>
      </c>
      <c r="G29" s="89">
        <v>8.1986948045477112E-2</v>
      </c>
      <c r="H29" s="89">
        <v>0.11499609994353228</v>
      </c>
      <c r="I29" s="89">
        <v>2.6492205996609185E-2</v>
      </c>
      <c r="J29" s="89">
        <v>1.1115610907668196E-2</v>
      </c>
      <c r="K29" s="89">
        <v>4.3031714158707088E-2</v>
      </c>
      <c r="L29" s="89">
        <v>1.567586153645514E-2</v>
      </c>
      <c r="M29" s="90">
        <v>0.11408865961212417</v>
      </c>
    </row>
    <row r="30" spans="3:18" x14ac:dyDescent="0.3">
      <c r="D30" s="22" t="s">
        <v>9</v>
      </c>
      <c r="E30" s="13">
        <f t="shared" ref="E30:M30" si="7">+E14/E$15</f>
        <v>0.26032464169566749</v>
      </c>
      <c r="F30" s="14">
        <f t="shared" si="7"/>
        <v>0.25334661455647384</v>
      </c>
      <c r="G30" s="14">
        <f t="shared" si="7"/>
        <v>8.3683142271568547E-2</v>
      </c>
      <c r="H30" s="14">
        <f t="shared" si="7"/>
        <v>0.317355971417286</v>
      </c>
      <c r="I30" s="14">
        <f t="shared" si="7"/>
        <v>0.13644805554604678</v>
      </c>
      <c r="J30" s="14">
        <f t="shared" si="7"/>
        <v>0.30790945298997063</v>
      </c>
      <c r="K30" s="14">
        <f t="shared" si="7"/>
        <v>0.36017189638117464</v>
      </c>
      <c r="L30" s="14">
        <f t="shared" si="7"/>
        <v>0.19405265289738111</v>
      </c>
      <c r="M30" s="15">
        <f t="shared" si="7"/>
        <v>0.13906385030822896</v>
      </c>
    </row>
    <row r="31" spans="3:18" x14ac:dyDescent="0.3">
      <c r="D31" s="20" t="s">
        <v>8</v>
      </c>
      <c r="E31" s="13">
        <f t="shared" ref="E31:M31" si="8">SUM(E21:E30)</f>
        <v>1</v>
      </c>
      <c r="F31" s="14">
        <f t="shared" si="8"/>
        <v>1</v>
      </c>
      <c r="G31" s="14">
        <f t="shared" si="8"/>
        <v>1</v>
      </c>
      <c r="H31" s="14">
        <f t="shared" si="8"/>
        <v>0.99999999999999989</v>
      </c>
      <c r="I31" s="14">
        <f t="shared" si="8"/>
        <v>1</v>
      </c>
      <c r="J31" s="14">
        <f t="shared" si="8"/>
        <v>1</v>
      </c>
      <c r="K31" s="14">
        <f t="shared" si="8"/>
        <v>1</v>
      </c>
      <c r="L31" s="14">
        <f t="shared" si="8"/>
        <v>1</v>
      </c>
      <c r="M31" s="15">
        <f t="shared" si="8"/>
        <v>0.99999999999999989</v>
      </c>
    </row>
    <row r="34" spans="3:18" ht="15" thickBot="1" x14ac:dyDescent="0.35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3:18" ht="15" thickBot="1" x14ac:dyDescent="0.35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3:18" x14ac:dyDescent="0.3">
      <c r="C36" s="20" t="s">
        <v>1</v>
      </c>
      <c r="D36" s="28" t="s">
        <v>51</v>
      </c>
      <c r="E36" s="1" cm="1">
        <f t="array" ref="E36:M44">+MINVERSE(_xlfn.MUNIT(COUNTA($D$36:$D$44))-E21:M29)</f>
        <v>1.3024986452103609</v>
      </c>
      <c r="F36" s="2">
        <v>0.26476433115947329</v>
      </c>
      <c r="G36" s="2">
        <v>0.40218059650884741</v>
      </c>
      <c r="H36" s="2">
        <v>0.1934162088439817</v>
      </c>
      <c r="I36" s="2">
        <v>0.22176460408632115</v>
      </c>
      <c r="J36" s="2">
        <v>0.29872085092152639</v>
      </c>
      <c r="K36" s="2">
        <v>0.19945442892545165</v>
      </c>
      <c r="L36" s="2">
        <v>0.30111384917818174</v>
      </c>
      <c r="M36" s="3">
        <v>0.25211754064503811</v>
      </c>
      <c r="N36" s="16"/>
    </row>
    <row r="37" spans="3:18" x14ac:dyDescent="0.3">
      <c r="C37" s="20" t="s">
        <v>1</v>
      </c>
      <c r="D37" s="25" t="s">
        <v>52</v>
      </c>
      <c r="E37" s="5">
        <v>0.36686054900417653</v>
      </c>
      <c r="F37" s="6">
        <v>1.3188847509159209</v>
      </c>
      <c r="G37" s="6">
        <v>0.48231941805069894</v>
      </c>
      <c r="H37" s="6">
        <v>0.3055797986863068</v>
      </c>
      <c r="I37" s="6">
        <v>0.33513737927595166</v>
      </c>
      <c r="J37" s="6">
        <v>0.40656354548627022</v>
      </c>
      <c r="K37" s="6">
        <v>0.25273964662141679</v>
      </c>
      <c r="L37" s="6">
        <v>0.35347473408044117</v>
      </c>
      <c r="M37" s="7">
        <v>0.41405210695553585</v>
      </c>
      <c r="N37" s="16"/>
    </row>
    <row r="38" spans="3:18" x14ac:dyDescent="0.3">
      <c r="C38" s="20" t="s">
        <v>1</v>
      </c>
      <c r="D38" s="25" t="s">
        <v>53</v>
      </c>
      <c r="E38" s="5">
        <v>0.21335636802662303</v>
      </c>
      <c r="F38" s="6">
        <v>0.20129123316904451</v>
      </c>
      <c r="G38" s="6">
        <v>1.2433614794362453</v>
      </c>
      <c r="H38" s="6">
        <v>0.26979888851122691</v>
      </c>
      <c r="I38" s="6">
        <v>0.31065503472159828</v>
      </c>
      <c r="J38" s="6">
        <v>0.23422779003124158</v>
      </c>
      <c r="K38" s="6">
        <v>0.25137842642395064</v>
      </c>
      <c r="L38" s="6">
        <v>0.26235350916601835</v>
      </c>
      <c r="M38" s="7">
        <v>0.34143398486884957</v>
      </c>
      <c r="N38" s="16"/>
    </row>
    <row r="39" spans="3:18" x14ac:dyDescent="0.3">
      <c r="C39" s="20" t="s">
        <v>10</v>
      </c>
      <c r="D39" s="25" t="str">
        <f>+D36</f>
        <v>Agr</v>
      </c>
      <c r="E39" s="5">
        <v>0.53616388820590344</v>
      </c>
      <c r="F39" s="6">
        <v>0.5087603706310706</v>
      </c>
      <c r="G39" s="6">
        <v>0.60684136933061061</v>
      </c>
      <c r="H39" s="6">
        <v>1.4729857144433494</v>
      </c>
      <c r="I39" s="6">
        <v>0.66326704054429597</v>
      </c>
      <c r="J39" s="6">
        <v>0.5312551557630758</v>
      </c>
      <c r="K39" s="6">
        <v>0.48324890819987992</v>
      </c>
      <c r="L39" s="6">
        <v>0.57893931164150159</v>
      </c>
      <c r="M39" s="7">
        <v>0.62966759435011854</v>
      </c>
      <c r="N39" s="16"/>
    </row>
    <row r="40" spans="3:18" x14ac:dyDescent="0.3">
      <c r="C40" s="20" t="s">
        <v>10</v>
      </c>
      <c r="D40" s="25" t="str">
        <f t="shared" ref="D40:D44" si="9">+D37</f>
        <v>Ind</v>
      </c>
      <c r="E40" s="5">
        <v>0.32300601881904273</v>
      </c>
      <c r="F40" s="6">
        <v>0.29589898299819456</v>
      </c>
      <c r="G40" s="6">
        <v>0.38533172623002476</v>
      </c>
      <c r="H40" s="6">
        <v>0.32786249268965634</v>
      </c>
      <c r="I40" s="6">
        <v>1.4475130293771468</v>
      </c>
      <c r="J40" s="6">
        <v>0.31334045975521846</v>
      </c>
      <c r="K40" s="6">
        <v>0.34868482777717646</v>
      </c>
      <c r="L40" s="6">
        <v>0.30834072092775827</v>
      </c>
      <c r="M40" s="7">
        <v>0.45331459721214146</v>
      </c>
      <c r="N40" s="16"/>
    </row>
    <row r="41" spans="3:18" x14ac:dyDescent="0.3">
      <c r="C41" s="20" t="s">
        <v>10</v>
      </c>
      <c r="D41" s="25" t="str">
        <f t="shared" si="9"/>
        <v>Serv</v>
      </c>
      <c r="E41" s="5">
        <v>0.28257267316413581</v>
      </c>
      <c r="F41" s="6">
        <v>0.2728779780853644</v>
      </c>
      <c r="G41" s="6">
        <v>0.32034459794442255</v>
      </c>
      <c r="H41" s="6">
        <v>0.21950889373660212</v>
      </c>
      <c r="I41" s="6">
        <v>0.38719924417926616</v>
      </c>
      <c r="J41" s="6">
        <v>1.2285058819332242</v>
      </c>
      <c r="K41" s="6">
        <v>0.20334980626662028</v>
      </c>
      <c r="L41" s="6">
        <v>0.29467468611786818</v>
      </c>
      <c r="M41" s="7">
        <v>0.27551283112961378</v>
      </c>
      <c r="N41" s="16"/>
    </row>
    <row r="42" spans="3:18" x14ac:dyDescent="0.3">
      <c r="C42" s="20" t="s">
        <v>11</v>
      </c>
      <c r="D42" s="25" t="str">
        <f t="shared" si="9"/>
        <v>Agr</v>
      </c>
      <c r="E42" s="5">
        <v>0.43333230323279376</v>
      </c>
      <c r="F42" s="6">
        <v>0.53609547247053257</v>
      </c>
      <c r="G42" s="6">
        <v>0.62297302084061623</v>
      </c>
      <c r="H42" s="6">
        <v>0.46721921490881402</v>
      </c>
      <c r="I42" s="6">
        <v>0.61616320346508324</v>
      </c>
      <c r="J42" s="6">
        <v>0.38319410416085475</v>
      </c>
      <c r="K42" s="6">
        <v>1.4295238753446191</v>
      </c>
      <c r="L42" s="6">
        <v>0.53841129598074666</v>
      </c>
      <c r="M42" s="7">
        <v>0.58853963067707249</v>
      </c>
      <c r="N42" s="16"/>
    </row>
    <row r="43" spans="3:18" x14ac:dyDescent="0.3">
      <c r="C43" s="20" t="s">
        <v>11</v>
      </c>
      <c r="D43" s="25" t="str">
        <f t="shared" si="9"/>
        <v>Ind</v>
      </c>
      <c r="E43" s="5">
        <v>0.23814532211648443</v>
      </c>
      <c r="F43" s="6">
        <v>0.35754842669756548</v>
      </c>
      <c r="G43" s="6">
        <v>0.28650971636309569</v>
      </c>
      <c r="H43" s="6">
        <v>0.30910421533674387</v>
      </c>
      <c r="I43" s="6">
        <v>0.24803841938826901</v>
      </c>
      <c r="J43" s="6">
        <v>0.22741748547201521</v>
      </c>
      <c r="K43" s="6">
        <v>0.28240329015458621</v>
      </c>
      <c r="L43" s="6">
        <v>1.3841927203409812</v>
      </c>
      <c r="M43" s="7">
        <v>0.28274983406574922</v>
      </c>
      <c r="N43" s="16"/>
    </row>
    <row r="44" spans="3:18" x14ac:dyDescent="0.3">
      <c r="C44" s="20" t="s">
        <v>11</v>
      </c>
      <c r="D44" s="25" t="str">
        <f t="shared" si="9"/>
        <v>Serv</v>
      </c>
      <c r="E44" s="9">
        <v>0.33515752955432715</v>
      </c>
      <c r="F44" s="10">
        <v>0.22846495026560509</v>
      </c>
      <c r="G44" s="10">
        <v>0.32564265351850391</v>
      </c>
      <c r="H44" s="10">
        <v>0.29918752736400578</v>
      </c>
      <c r="I44" s="10">
        <v>0.24510406162697901</v>
      </c>
      <c r="J44" s="10">
        <v>0.20038425508820698</v>
      </c>
      <c r="K44" s="10">
        <v>0.21416186107898147</v>
      </c>
      <c r="L44" s="10">
        <v>0.22323633291093217</v>
      </c>
      <c r="M44" s="11">
        <v>1.348568740533215</v>
      </c>
      <c r="N44" s="16"/>
    </row>
    <row r="45" spans="3:18" ht="15" thickBot="1" x14ac:dyDescent="0.35"/>
    <row r="46" spans="3:18" ht="15" thickBot="1" x14ac:dyDescent="0.35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3:18" x14ac:dyDescent="0.3">
      <c r="C47" s="22" t="s">
        <v>1</v>
      </c>
      <c r="D47" s="28" t="s">
        <v>51</v>
      </c>
      <c r="E47" s="32"/>
      <c r="F47" s="35"/>
      <c r="G47" s="1"/>
      <c r="H47" s="84" cm="1">
        <f t="array" ref="H47:H55">+N5:N13</f>
        <v>30.610989010989002</v>
      </c>
      <c r="J47" s="22" t="s">
        <v>1</v>
      </c>
      <c r="K47" s="28" t="s">
        <v>51</v>
      </c>
      <c r="L47" s="32">
        <v>0</v>
      </c>
      <c r="M47" s="35">
        <f>1-L47%</f>
        <v>1</v>
      </c>
      <c r="N47" s="1" cm="1">
        <f t="array" ref="N47:N55">+_xlfn.ANCHORARRAY(O5)</f>
        <v>67.410989010989013</v>
      </c>
      <c r="O47" s="3" cm="1">
        <f t="array" ref="O47:O55">+_xlfn.ANCHORARRAY(O5)</f>
        <v>67.410989010989013</v>
      </c>
      <c r="P47" s="18"/>
      <c r="Q47" s="18"/>
      <c r="R47" s="18"/>
    </row>
    <row r="48" spans="3:18" x14ac:dyDescent="0.3">
      <c r="C48" s="20" t="s">
        <v>1</v>
      </c>
      <c r="D48" s="25" t="s">
        <v>52</v>
      </c>
      <c r="E48" s="33"/>
      <c r="F48" s="35"/>
      <c r="G48" s="5"/>
      <c r="H48" s="87">
        <v>4.219780219780219</v>
      </c>
      <c r="J48" s="20" t="s">
        <v>1</v>
      </c>
      <c r="K48" s="25" t="s">
        <v>52</v>
      </c>
      <c r="L48" s="33"/>
      <c r="M48" s="35">
        <f t="shared" ref="M48:M55" si="10">1-L48%</f>
        <v>1</v>
      </c>
      <c r="N48" s="5">
        <v>52.219780219780219</v>
      </c>
      <c r="O48" s="7">
        <v>52.219780219780219</v>
      </c>
      <c r="P48" s="18"/>
    </row>
    <row r="49" spans="1:16" x14ac:dyDescent="0.3">
      <c r="C49" s="20" t="s">
        <v>1</v>
      </c>
      <c r="D49" s="25" t="s">
        <v>53</v>
      </c>
      <c r="E49" s="33"/>
      <c r="F49" s="35"/>
      <c r="G49" s="5"/>
      <c r="H49" s="87">
        <v>11.624175824175829</v>
      </c>
      <c r="J49" s="20" t="s">
        <v>1</v>
      </c>
      <c r="K49" s="25" t="s">
        <v>53</v>
      </c>
      <c r="L49" s="33"/>
      <c r="M49" s="35">
        <f t="shared" si="10"/>
        <v>1</v>
      </c>
      <c r="N49" s="5">
        <v>44.624175824175829</v>
      </c>
      <c r="O49" s="7">
        <v>44.624175824175829</v>
      </c>
      <c r="P49" s="18"/>
    </row>
    <row r="50" spans="1:16" x14ac:dyDescent="0.3">
      <c r="C50" s="20" t="s">
        <v>10</v>
      </c>
      <c r="D50" s="25" t="str">
        <f>+D47</f>
        <v>Agr</v>
      </c>
      <c r="E50" s="33"/>
      <c r="F50" s="35"/>
      <c r="G50" s="5"/>
      <c r="H50" s="87">
        <v>5.8549450549450199</v>
      </c>
      <c r="J50" s="20" t="s">
        <v>10</v>
      </c>
      <c r="K50" s="25" t="str">
        <f>+K47</f>
        <v>Agr</v>
      </c>
      <c r="L50" s="33"/>
      <c r="M50" s="35">
        <f t="shared" si="10"/>
        <v>1</v>
      </c>
      <c r="N50" s="5">
        <v>77.85494505494502</v>
      </c>
      <c r="O50" s="7">
        <v>77.85494505494502</v>
      </c>
      <c r="P50" s="18"/>
    </row>
    <row r="51" spans="1:16" x14ac:dyDescent="0.3">
      <c r="C51" s="20" t="s">
        <v>10</v>
      </c>
      <c r="D51" s="25" t="str">
        <f t="shared" ref="D51:D55" si="11">+D48</f>
        <v>Ind</v>
      </c>
      <c r="E51" s="33"/>
      <c r="F51" s="35"/>
      <c r="G51" s="5"/>
      <c r="H51" s="87">
        <v>2.4725274725274673</v>
      </c>
      <c r="J51" s="20" t="s">
        <v>10</v>
      </c>
      <c r="K51" s="25" t="str">
        <f t="shared" ref="K51:K55" si="12">+K48</f>
        <v>Ind</v>
      </c>
      <c r="L51" s="33"/>
      <c r="M51" s="35">
        <f t="shared" si="10"/>
        <v>1</v>
      </c>
      <c r="N51" s="5">
        <v>47.47252747252746</v>
      </c>
      <c r="O51" s="7">
        <v>47.47252747252746</v>
      </c>
      <c r="P51" s="18"/>
    </row>
    <row r="52" spans="1:16" x14ac:dyDescent="0.3">
      <c r="C52" s="20" t="s">
        <v>10</v>
      </c>
      <c r="D52" s="25" t="str">
        <f t="shared" si="11"/>
        <v>Serv</v>
      </c>
      <c r="E52" s="33"/>
      <c r="F52" s="35"/>
      <c r="G52" s="5"/>
      <c r="H52" s="87">
        <v>17.219780219780219</v>
      </c>
      <c r="J52" s="20" t="s">
        <v>10</v>
      </c>
      <c r="K52" s="25" t="str">
        <f t="shared" si="12"/>
        <v>Serv</v>
      </c>
      <c r="L52" s="33"/>
      <c r="M52" s="35">
        <f t="shared" si="10"/>
        <v>1</v>
      </c>
      <c r="N52" s="5">
        <v>52.219780219780233</v>
      </c>
      <c r="O52" s="7">
        <v>52.219780219780233</v>
      </c>
      <c r="P52" s="18"/>
    </row>
    <row r="53" spans="1:16" x14ac:dyDescent="0.3">
      <c r="C53" s="20" t="s">
        <v>11</v>
      </c>
      <c r="D53" s="25" t="str">
        <f t="shared" si="11"/>
        <v>Agr</v>
      </c>
      <c r="E53" s="33"/>
      <c r="F53" s="35"/>
      <c r="G53" s="5"/>
      <c r="H53" s="87">
        <v>11.00659340659341</v>
      </c>
      <c r="J53" s="20" t="s">
        <v>11</v>
      </c>
      <c r="K53" s="25" t="str">
        <f t="shared" si="12"/>
        <v>Agr</v>
      </c>
      <c r="L53" s="33"/>
      <c r="M53" s="35">
        <f t="shared" si="10"/>
        <v>1</v>
      </c>
      <c r="N53" s="5">
        <v>75.00659340659341</v>
      </c>
      <c r="O53" s="7">
        <v>75.00659340659341</v>
      </c>
      <c r="P53" s="18"/>
    </row>
    <row r="54" spans="1:16" x14ac:dyDescent="0.3">
      <c r="C54" s="20" t="s">
        <v>11</v>
      </c>
      <c r="D54" s="25" t="str">
        <f t="shared" si="11"/>
        <v>Ind</v>
      </c>
      <c r="E54" s="33"/>
      <c r="F54" s="35"/>
      <c r="G54" s="5"/>
      <c r="H54" s="87">
        <v>24.714285714285687</v>
      </c>
      <c r="J54" s="20" t="s">
        <v>11</v>
      </c>
      <c r="K54" s="25" t="str">
        <f t="shared" si="12"/>
        <v>Ind</v>
      </c>
      <c r="L54" s="33"/>
      <c r="M54" s="35">
        <f t="shared" si="10"/>
        <v>1</v>
      </c>
      <c r="N54" s="5">
        <v>61.714285714285701</v>
      </c>
      <c r="O54" s="7">
        <v>61.714285714285701</v>
      </c>
      <c r="P54" s="18"/>
    </row>
    <row r="55" spans="1:16" x14ac:dyDescent="0.3">
      <c r="C55" s="20" t="s">
        <v>11</v>
      </c>
      <c r="D55" s="25" t="str">
        <f t="shared" si="11"/>
        <v>Serv</v>
      </c>
      <c r="E55" s="34"/>
      <c r="F55" s="35"/>
      <c r="G55" s="9"/>
      <c r="H55" s="90">
        <v>20.967032967032999</v>
      </c>
      <c r="J55" s="20" t="s">
        <v>11</v>
      </c>
      <c r="K55" s="25" t="str">
        <f t="shared" si="12"/>
        <v>Serv</v>
      </c>
      <c r="L55" s="34"/>
      <c r="M55" s="35">
        <f t="shared" si="10"/>
        <v>1</v>
      </c>
      <c r="N55" s="9">
        <v>56.967032967032992</v>
      </c>
      <c r="O55" s="11">
        <v>56.967032967032992</v>
      </c>
      <c r="P55" s="18"/>
    </row>
    <row r="56" spans="1:16" x14ac:dyDescent="0.3">
      <c r="G56" s="13">
        <f t="shared" ref="G56:H56" si="13">SUM(G47:G55)</f>
        <v>0</v>
      </c>
      <c r="H56" s="15">
        <f t="shared" si="13"/>
        <v>128.69010989010985</v>
      </c>
      <c r="N56" s="13">
        <f t="shared" ref="N56:O56" si="14">SUM(N47:N55)</f>
        <v>535.49010989011003</v>
      </c>
      <c r="O56" s="15">
        <f t="shared" si="14"/>
        <v>535.49010989011003</v>
      </c>
    </row>
    <row r="58" spans="1:16" x14ac:dyDescent="0.3">
      <c r="A58" s="66"/>
    </row>
    <row r="59" spans="1:16" x14ac:dyDescent="0.3">
      <c r="A59" s="68" t="s">
        <v>30</v>
      </c>
      <c r="E59" s="20" t="s">
        <v>20</v>
      </c>
      <c r="F59" s="20" t="s">
        <v>19</v>
      </c>
      <c r="G59" s="20" t="s">
        <v>3</v>
      </c>
    </row>
    <row r="60" spans="1:16" x14ac:dyDescent="0.3">
      <c r="A60" s="67"/>
      <c r="C60" s="20" t="s">
        <v>1</v>
      </c>
      <c r="D60" s="28" t="s">
        <v>51</v>
      </c>
      <c r="E60" s="91" cm="1">
        <f t="array" ref="E60:E68">+'IO_sub_model (3)'!F188:F196</f>
        <v>64.003400555488469</v>
      </c>
      <c r="F60" s="133" cm="1">
        <f t="array" ref="F60:F68">+_xlfn.ANCHORARRAY(O5)</f>
        <v>67.410989010989013</v>
      </c>
      <c r="G60" s="94">
        <f>+MIN(F60/E60,1)</f>
        <v>1</v>
      </c>
      <c r="H60" s="18"/>
    </row>
    <row r="61" spans="1:16" x14ac:dyDescent="0.3">
      <c r="C61" s="20" t="s">
        <v>1</v>
      </c>
      <c r="D61" s="25" t="s">
        <v>52</v>
      </c>
      <c r="E61" s="92">
        <v>52.582736384494638</v>
      </c>
      <c r="F61" s="134">
        <v>52.219780219780219</v>
      </c>
      <c r="G61" s="95">
        <f t="shared" ref="G61:G68" si="15">+MIN(F61/E61,1)</f>
        <v>0.99309742722287375</v>
      </c>
      <c r="H61" s="18"/>
    </row>
    <row r="62" spans="1:16" x14ac:dyDescent="0.3">
      <c r="C62" s="20" t="s">
        <v>1</v>
      </c>
      <c r="D62" s="25" t="s">
        <v>53</v>
      </c>
      <c r="E62" s="92">
        <v>44.934338364931783</v>
      </c>
      <c r="F62" s="134">
        <v>44.624175824175829</v>
      </c>
      <c r="G62" s="95">
        <f t="shared" si="15"/>
        <v>0.99309742722287386</v>
      </c>
      <c r="H62" s="18"/>
    </row>
    <row r="63" spans="1:16" x14ac:dyDescent="0.3">
      <c r="C63" s="20" t="s">
        <v>10</v>
      </c>
      <c r="D63" s="25" t="str">
        <f>+D60</f>
        <v>Agr</v>
      </c>
      <c r="E63" s="92">
        <v>78.396079700519294</v>
      </c>
      <c r="F63" s="134">
        <v>77.85494505494502</v>
      </c>
      <c r="G63" s="95">
        <f t="shared" si="15"/>
        <v>0.99309742722287309</v>
      </c>
      <c r="H63" s="18"/>
    </row>
    <row r="64" spans="1:16" x14ac:dyDescent="0.3">
      <c r="C64" s="20" t="s">
        <v>10</v>
      </c>
      <c r="D64" s="25" t="str">
        <f t="shared" ref="D64:D68" si="16">+D61</f>
        <v>Ind</v>
      </c>
      <c r="E64" s="92">
        <v>47.80248762226784</v>
      </c>
      <c r="F64" s="134">
        <v>47.47252747252746</v>
      </c>
      <c r="G64" s="95">
        <f t="shared" si="15"/>
        <v>0.99309742722287375</v>
      </c>
      <c r="H64" s="18"/>
    </row>
    <row r="65" spans="1:13" x14ac:dyDescent="0.3">
      <c r="C65" s="20" t="s">
        <v>10</v>
      </c>
      <c r="D65" s="25" t="str">
        <f t="shared" si="16"/>
        <v>Serv</v>
      </c>
      <c r="E65" s="92">
        <v>52.582736384494638</v>
      </c>
      <c r="F65" s="134">
        <v>52.219780219780233</v>
      </c>
      <c r="G65" s="95">
        <f t="shared" si="15"/>
        <v>0.99309742722287397</v>
      </c>
      <c r="H65" s="18"/>
    </row>
    <row r="66" spans="1:13" x14ac:dyDescent="0.3">
      <c r="C66" s="20" t="s">
        <v>11</v>
      </c>
      <c r="D66" s="25" t="str">
        <f t="shared" si="16"/>
        <v>Agr</v>
      </c>
      <c r="E66" s="92">
        <v>75.527930443183195</v>
      </c>
      <c r="F66" s="134">
        <v>75.00659340659341</v>
      </c>
      <c r="G66" s="95">
        <f t="shared" si="15"/>
        <v>0.99309742722287397</v>
      </c>
      <c r="H66" s="18"/>
    </row>
    <row r="67" spans="1:13" x14ac:dyDescent="0.3">
      <c r="C67" s="20" t="s">
        <v>11</v>
      </c>
      <c r="D67" s="25" t="str">
        <f t="shared" si="16"/>
        <v>Ind</v>
      </c>
      <c r="E67" s="92">
        <v>62.143233908948204</v>
      </c>
      <c r="F67" s="134">
        <v>61.714285714285701</v>
      </c>
      <c r="G67" s="95">
        <f t="shared" si="15"/>
        <v>0.99309742722287364</v>
      </c>
      <c r="H67" s="18"/>
    </row>
    <row r="68" spans="1:13" x14ac:dyDescent="0.3">
      <c r="C68" s="20" t="s">
        <v>11</v>
      </c>
      <c r="D68" s="25" t="str">
        <f t="shared" si="16"/>
        <v>Serv</v>
      </c>
      <c r="E68" s="93">
        <v>57.362985146721414</v>
      </c>
      <c r="F68" s="135">
        <v>56.967032967032992</v>
      </c>
      <c r="G68" s="96">
        <f t="shared" si="15"/>
        <v>0.99309742722287431</v>
      </c>
      <c r="H68" s="18"/>
    </row>
    <row r="69" spans="1:13" x14ac:dyDescent="0.3">
      <c r="A69" s="66"/>
    </row>
    <row r="70" spans="1:13" x14ac:dyDescent="0.3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13" x14ac:dyDescent="0.3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13" x14ac:dyDescent="0.3">
      <c r="C72" t="s">
        <v>25</v>
      </c>
      <c r="D72" s="20" t="s">
        <v>4</v>
      </c>
      <c r="E72" s="43" cm="1">
        <f t="array" ref="E72">+MIN(_xlfn._xlws.FILTER($G$60:$G$68,E21:E29&gt;0))</f>
        <v>0.99309742722287309</v>
      </c>
      <c r="F72" s="44" cm="1">
        <f t="array" ref="F72">+MIN(_xlfn._xlws.FILTER($G$60:$G$68,F21:F29&gt;0))</f>
        <v>0.99309742722287309</v>
      </c>
      <c r="G72" s="44" cm="1">
        <f t="array" ref="G72">+MIN(_xlfn._xlws.FILTER($G$60:$G$68,G21:G29&gt;0))</f>
        <v>0.99309742722287309</v>
      </c>
      <c r="H72" s="44" cm="1">
        <f t="array" ref="H72">+MIN(_xlfn._xlws.FILTER($G$60:$G$68,H21:H29&gt;0))</f>
        <v>0.99309742722287309</v>
      </c>
      <c r="I72" s="44" cm="1">
        <f t="array" ref="I72">+MIN(_xlfn._xlws.FILTER($G$60:$G$68,I21:I29&gt;0))</f>
        <v>0.99309742722287309</v>
      </c>
      <c r="J72" s="44" cm="1">
        <f t="array" ref="J72">+MIN(_xlfn._xlws.FILTER($G$60:$G$68,J21:J29&gt;0))</f>
        <v>0.99309742722287309</v>
      </c>
      <c r="K72" s="44" cm="1">
        <f t="array" ref="K72">+MIN(_xlfn._xlws.FILTER($G$60:$G$68,K21:K29&gt;0))</f>
        <v>0.99309742722287309</v>
      </c>
      <c r="L72" s="44" cm="1">
        <f t="array" ref="L72">+MIN(_xlfn._xlws.FILTER($G$60:$G$68,L21:L29&gt;0))</f>
        <v>0.99309742722287309</v>
      </c>
      <c r="M72" s="45" cm="1">
        <f t="array" ref="M72">+MIN(_xlfn._xlws.FILTER($G$60:$G$68,M21:M29&gt;0))</f>
        <v>0.99309742722287309</v>
      </c>
    </row>
    <row r="73" spans="1:13" ht="15" thickBot="1" x14ac:dyDescent="0.35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13" x14ac:dyDescent="0.3">
      <c r="D74" s="22" t="s">
        <v>22</v>
      </c>
      <c r="E74" s="46">
        <f>+MIN(E72:E73)</f>
        <v>0.99309742722287309</v>
      </c>
      <c r="F74" s="47">
        <f t="shared" ref="F74:M74" si="17">+MIN(F72:F73)</f>
        <v>0.99309742722287309</v>
      </c>
      <c r="G74" s="47">
        <f t="shared" si="17"/>
        <v>0.99309742722287309</v>
      </c>
      <c r="H74" s="47">
        <f t="shared" si="17"/>
        <v>0.99309742722287309</v>
      </c>
      <c r="I74" s="47">
        <f t="shared" si="17"/>
        <v>0.99309742722287309</v>
      </c>
      <c r="J74" s="47">
        <f t="shared" si="17"/>
        <v>0.99309742722287309</v>
      </c>
      <c r="K74" s="47">
        <f t="shared" si="17"/>
        <v>0.99309742722287309</v>
      </c>
      <c r="L74" s="47">
        <f t="shared" si="17"/>
        <v>0.99309742722287309</v>
      </c>
      <c r="M74" s="48">
        <f t="shared" si="17"/>
        <v>0.99309742722287309</v>
      </c>
    </row>
    <row r="75" spans="1:13" x14ac:dyDescent="0.3">
      <c r="A75" s="66"/>
    </row>
    <row r="76" spans="1:13" ht="15" thickBot="1" x14ac:dyDescent="0.35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13" ht="15" thickBot="1" x14ac:dyDescent="0.35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13" x14ac:dyDescent="0.3">
      <c r="B78" s="63" cm="1">
        <f t="array" ref="B78:B86">+TRANSPOSE(E74:M74)</f>
        <v>0.99309742722287309</v>
      </c>
      <c r="C78" s="20" t="s">
        <v>1</v>
      </c>
      <c r="D78" s="28" t="s">
        <v>51</v>
      </c>
      <c r="E78" s="1">
        <f>+E5*$B78</f>
        <v>7.5972028590221781</v>
      </c>
      <c r="F78" s="2">
        <f t="shared" ref="F78:M78" si="18">+F5*$B78</f>
        <v>3.976691398975166</v>
      </c>
      <c r="G78" s="2">
        <f t="shared" si="18"/>
        <v>7.5972028590221772</v>
      </c>
      <c r="H78" s="2">
        <f t="shared" si="18"/>
        <v>1.0525793467987006</v>
      </c>
      <c r="I78" s="2">
        <f t="shared" si="18"/>
        <v>0.39575548769795094</v>
      </c>
      <c r="J78" s="2">
        <f t="shared" si="18"/>
        <v>6.0658896225868038</v>
      </c>
      <c r="K78" s="2">
        <f t="shared" si="18"/>
        <v>2.5443170344642816</v>
      </c>
      <c r="L78" s="2">
        <f t="shared" si="18"/>
        <v>5.5080046354105399</v>
      </c>
      <c r="M78" s="3">
        <f t="shared" si="18"/>
        <v>1.8083420778239405</v>
      </c>
    </row>
    <row r="79" spans="1:13" x14ac:dyDescent="0.3">
      <c r="B79" s="30">
        <v>0.99309742722287309</v>
      </c>
      <c r="C79" s="20" t="s">
        <v>1</v>
      </c>
      <c r="D79" s="25" t="s">
        <v>52</v>
      </c>
      <c r="E79" s="5">
        <f t="shared" ref="E79:M86" si="19">+E6*$B79</f>
        <v>7.1205680807873284</v>
      </c>
      <c r="F79" s="6">
        <f t="shared" si="19"/>
        <v>3.7292418851145563</v>
      </c>
      <c r="G79" s="6">
        <f t="shared" si="19"/>
        <v>7.7881102079996349</v>
      </c>
      <c r="H79" s="6">
        <f t="shared" si="19"/>
        <v>4.8638699045419296</v>
      </c>
      <c r="I79" s="6">
        <f t="shared" si="19"/>
        <v>1.9589268415974286</v>
      </c>
      <c r="J79" s="6">
        <f t="shared" si="19"/>
        <v>8.6774805955361725</v>
      </c>
      <c r="K79" s="6">
        <f t="shared" si="19"/>
        <v>2.2748360297853094</v>
      </c>
      <c r="L79" s="6">
        <f t="shared" si="19"/>
        <v>4.8568670432986778</v>
      </c>
      <c r="M79" s="7">
        <f t="shared" si="19"/>
        <v>6.3987759180368746</v>
      </c>
    </row>
    <row r="80" spans="1:13" x14ac:dyDescent="0.3">
      <c r="B80" s="30">
        <v>0.99309742722287309</v>
      </c>
      <c r="C80" s="20" t="s">
        <v>1</v>
      </c>
      <c r="D80" s="25" t="s">
        <v>53</v>
      </c>
      <c r="E80" s="5">
        <f t="shared" si="19"/>
        <v>1.3880132601006163</v>
      </c>
      <c r="F80" s="6">
        <f t="shared" si="19"/>
        <v>0.61647924734968174</v>
      </c>
      <c r="G80" s="6">
        <f t="shared" si="19"/>
        <v>0.70454771125677973</v>
      </c>
      <c r="H80" s="6">
        <f t="shared" si="19"/>
        <v>6.5985426261158544</v>
      </c>
      <c r="I80" s="6">
        <f t="shared" si="19"/>
        <v>4.0096387598140391</v>
      </c>
      <c r="J80" s="6">
        <f t="shared" si="19"/>
        <v>3.3931595124643561</v>
      </c>
      <c r="K80" s="6">
        <f t="shared" si="19"/>
        <v>5.9820633787661732</v>
      </c>
      <c r="L80" s="6">
        <f t="shared" si="19"/>
        <v>3.7454333680927463</v>
      </c>
      <c r="M80" s="7">
        <f t="shared" si="19"/>
        <v>6.3343372343945648</v>
      </c>
    </row>
    <row r="81" spans="1:14" x14ac:dyDescent="0.3">
      <c r="B81" s="30">
        <v>0.99309742722287309</v>
      </c>
      <c r="C81" s="20" t="s">
        <v>10</v>
      </c>
      <c r="D81" s="25" t="str">
        <f>+D78</f>
        <v>Agr</v>
      </c>
      <c r="E81" s="5">
        <f t="shared" si="19"/>
        <v>8.8557166624331032</v>
      </c>
      <c r="F81" s="6">
        <f t="shared" si="19"/>
        <v>5.7718741132173212</v>
      </c>
      <c r="G81" s="6">
        <f t="shared" si="19"/>
        <v>5.2747807511558911</v>
      </c>
      <c r="H81" s="6">
        <f t="shared" si="19"/>
        <v>6.8756077474371891</v>
      </c>
      <c r="I81" s="6">
        <f t="shared" si="19"/>
        <v>9.352810024494536</v>
      </c>
      <c r="J81" s="6">
        <f t="shared" si="19"/>
        <v>8.3079821119480783</v>
      </c>
      <c r="K81" s="6">
        <f t="shared" si="19"/>
        <v>9.3528100244945378</v>
      </c>
      <c r="L81" s="6">
        <f t="shared" si="19"/>
        <v>9.1843573927241184</v>
      </c>
      <c r="M81" s="7">
        <f t="shared" si="19"/>
        <v>8.5270759321420897</v>
      </c>
    </row>
    <row r="82" spans="1:14" x14ac:dyDescent="0.3">
      <c r="B82" s="30">
        <v>0.99309742722287309</v>
      </c>
      <c r="C82" s="20" t="s">
        <v>10</v>
      </c>
      <c r="D82" s="25" t="str">
        <f t="shared" ref="D82:D86" si="20">+D79</f>
        <v>Ind</v>
      </c>
      <c r="E82" s="5">
        <f t="shared" si="19"/>
        <v>4.031959300059941</v>
      </c>
      <c r="F82" s="6">
        <f t="shared" si="19"/>
        <v>2.2296714927917067</v>
      </c>
      <c r="G82" s="6">
        <f t="shared" si="19"/>
        <v>3.0911205831376951</v>
      </c>
      <c r="H82" s="6">
        <f t="shared" si="19"/>
        <v>6.0133167289088112</v>
      </c>
      <c r="I82" s="6">
        <f t="shared" si="19"/>
        <v>6.5707018319949615</v>
      </c>
      <c r="J82" s="6">
        <f t="shared" si="19"/>
        <v>4.0539243359036305</v>
      </c>
      <c r="K82" s="6">
        <f t="shared" si="19"/>
        <v>8.6652337748934087</v>
      </c>
      <c r="L82" s="6">
        <f t="shared" si="19"/>
        <v>2.3310261552116534</v>
      </c>
      <c r="M82" s="7">
        <f t="shared" si="19"/>
        <v>7.7024300221274746</v>
      </c>
    </row>
    <row r="83" spans="1:14" x14ac:dyDescent="0.3">
      <c r="B83" s="30">
        <v>0.99309742722287309</v>
      </c>
      <c r="C83" s="20" t="s">
        <v>10</v>
      </c>
      <c r="D83" s="25" t="str">
        <f t="shared" si="20"/>
        <v>Serv</v>
      </c>
      <c r="E83" s="5">
        <f t="shared" si="19"/>
        <v>5.7692583693969501</v>
      </c>
      <c r="F83" s="6">
        <f t="shared" si="19"/>
        <v>4.2347775372541507</v>
      </c>
      <c r="G83" s="6">
        <f t="shared" si="19"/>
        <v>3.6119963015668417</v>
      </c>
      <c r="H83" s="6">
        <f t="shared" si="19"/>
        <v>2.397494220481847</v>
      </c>
      <c r="I83" s="6">
        <f t="shared" si="19"/>
        <v>7.6599619456847243</v>
      </c>
      <c r="J83" s="6">
        <f t="shared" si="19"/>
        <v>1.9928100439196881</v>
      </c>
      <c r="K83" s="6">
        <f t="shared" si="19"/>
        <v>1.7436525945049135</v>
      </c>
      <c r="L83" s="6">
        <f t="shared" si="19"/>
        <v>5.2311825592139956</v>
      </c>
      <c r="M83" s="7">
        <f t="shared" si="19"/>
        <v>2.1172763807774495</v>
      </c>
    </row>
    <row r="84" spans="1:14" x14ac:dyDescent="0.3">
      <c r="B84" s="30">
        <v>0.99309742722287309</v>
      </c>
      <c r="C84" s="20" t="s">
        <v>11</v>
      </c>
      <c r="D84" s="25" t="str">
        <f t="shared" si="20"/>
        <v>Agr</v>
      </c>
      <c r="E84" s="5">
        <f t="shared" si="19"/>
        <v>4.2908122331077641</v>
      </c>
      <c r="F84" s="6">
        <f t="shared" si="19"/>
        <v>9.1093724465011903</v>
      </c>
      <c r="G84" s="6">
        <f t="shared" si="19"/>
        <v>7.8717481443849824</v>
      </c>
      <c r="H84" s="6">
        <f t="shared" si="19"/>
        <v>8.1010601706537315</v>
      </c>
      <c r="I84" s="6">
        <f t="shared" si="19"/>
        <v>9.1093724465011885</v>
      </c>
      <c r="J84" s="6">
        <f t="shared" si="19"/>
        <v>1.6553755303547466</v>
      </c>
      <c r="K84" s="6">
        <f t="shared" si="19"/>
        <v>6.960810899734863</v>
      </c>
      <c r="L84" s="6">
        <f t="shared" si="19"/>
        <v>8.8800604202324358</v>
      </c>
      <c r="M84" s="7">
        <f t="shared" si="19"/>
        <v>7.5796230507929696</v>
      </c>
    </row>
    <row r="85" spans="1:14" x14ac:dyDescent="0.3">
      <c r="B85" s="30">
        <v>0.99309742722287309</v>
      </c>
      <c r="C85" s="20" t="s">
        <v>11</v>
      </c>
      <c r="D85" s="25" t="str">
        <f t="shared" si="20"/>
        <v>Ind</v>
      </c>
      <c r="E85" s="5">
        <f t="shared" si="19"/>
        <v>1.7884707872871108</v>
      </c>
      <c r="F85" s="6">
        <f t="shared" si="19"/>
        <v>6.9479385521869705</v>
      </c>
      <c r="G85" s="6">
        <f t="shared" si="19"/>
        <v>1.034786375102583</v>
      </c>
      <c r="H85" s="6">
        <f t="shared" si="19"/>
        <v>7.986673879762443</v>
      </c>
      <c r="I85" s="6">
        <f t="shared" si="19"/>
        <v>0.40588420108754325</v>
      </c>
      <c r="J85" s="6">
        <f t="shared" si="19"/>
        <v>1.1682817625067599</v>
      </c>
      <c r="K85" s="6">
        <f t="shared" si="19"/>
        <v>6.9309559446811511</v>
      </c>
      <c r="L85" s="6">
        <f t="shared" si="19"/>
        <v>8.6974630231428769</v>
      </c>
      <c r="M85" s="7">
        <f t="shared" si="19"/>
        <v>1.7841502814888723</v>
      </c>
    </row>
    <row r="86" spans="1:14" x14ac:dyDescent="0.3">
      <c r="B86" s="31">
        <v>0.99309742722287309</v>
      </c>
      <c r="C86" s="20" t="s">
        <v>11</v>
      </c>
      <c r="D86" s="25" t="str">
        <f t="shared" si="20"/>
        <v>Serv</v>
      </c>
      <c r="E86" s="9">
        <f t="shared" si="19"/>
        <v>8.6760681063005585</v>
      </c>
      <c r="F86" s="10">
        <f t="shared" si="19"/>
        <v>2.1048971798014473</v>
      </c>
      <c r="G86" s="10">
        <f t="shared" si="19"/>
        <v>3.633346232210986</v>
      </c>
      <c r="H86" s="10">
        <f t="shared" si="19"/>
        <v>8.8912162047301599</v>
      </c>
      <c r="I86" s="10">
        <f t="shared" si="19"/>
        <v>1.2489709426824713</v>
      </c>
      <c r="J86" s="10">
        <f t="shared" si="19"/>
        <v>0.57644812739191043</v>
      </c>
      <c r="K86" s="10">
        <f t="shared" si="19"/>
        <v>3.2053831136514979</v>
      </c>
      <c r="L86" s="10">
        <f t="shared" si="19"/>
        <v>0.96074687898651634</v>
      </c>
      <c r="M86" s="11">
        <f t="shared" si="19"/>
        <v>6.4544305942678788</v>
      </c>
    </row>
    <row r="87" spans="1:14" x14ac:dyDescent="0.3">
      <c r="N87" s="19">
        <f>+SUM(E78:M86)</f>
        <v>403.99203339426492</v>
      </c>
    </row>
    <row r="88" spans="1:14" x14ac:dyDescent="0.3">
      <c r="D88" s="20" t="str" cm="1">
        <f t="array" ref="D88:M89">+TRANSPOSE(E59:F68)</f>
        <v>x_md</v>
      </c>
      <c r="E88" s="43">
        <v>64.003400555488469</v>
      </c>
      <c r="F88" s="44">
        <v>52.582736384494638</v>
      </c>
      <c r="G88" s="44">
        <v>44.934338364931783</v>
      </c>
      <c r="H88" s="44">
        <v>78.396079700519294</v>
      </c>
      <c r="I88" s="44">
        <v>47.80248762226784</v>
      </c>
      <c r="J88" s="44">
        <v>52.582736384494638</v>
      </c>
      <c r="K88" s="44">
        <v>75.527930443183195</v>
      </c>
      <c r="L88" s="44">
        <v>62.143233908948204</v>
      </c>
      <c r="M88" s="45">
        <v>57.362985146721414</v>
      </c>
    </row>
    <row r="89" spans="1:14" ht="15" thickBot="1" x14ac:dyDescent="0.35">
      <c r="D89" s="49" t="str">
        <v>x_max</v>
      </c>
      <c r="E89" s="50">
        <v>67.410989010989013</v>
      </c>
      <c r="F89" s="51">
        <v>52.219780219780219</v>
      </c>
      <c r="G89" s="51">
        <v>44.624175824175829</v>
      </c>
      <c r="H89" s="51">
        <v>77.85494505494502</v>
      </c>
      <c r="I89" s="51">
        <v>47.47252747252746</v>
      </c>
      <c r="J89" s="51">
        <v>52.219780219780233</v>
      </c>
      <c r="K89" s="51">
        <v>75.00659340659341</v>
      </c>
      <c r="L89" s="51">
        <v>61.714285714285701</v>
      </c>
      <c r="M89" s="52">
        <v>56.967032967032992</v>
      </c>
    </row>
    <row r="90" spans="1:14" x14ac:dyDescent="0.3">
      <c r="D90" s="22"/>
      <c r="E90" s="46">
        <f>+MIN(E88:E89)</f>
        <v>64.003400555488469</v>
      </c>
      <c r="F90" s="47">
        <f t="shared" ref="F90:M90" si="21">+MIN(F88:F89)</f>
        <v>52.219780219780219</v>
      </c>
      <c r="G90" s="47">
        <f t="shared" si="21"/>
        <v>44.624175824175829</v>
      </c>
      <c r="H90" s="47">
        <f t="shared" si="21"/>
        <v>77.85494505494502</v>
      </c>
      <c r="I90" s="47">
        <f t="shared" si="21"/>
        <v>47.47252747252746</v>
      </c>
      <c r="J90" s="47">
        <f t="shared" si="21"/>
        <v>52.219780219780233</v>
      </c>
      <c r="K90" s="47">
        <f t="shared" si="21"/>
        <v>75.00659340659341</v>
      </c>
      <c r="L90" s="47">
        <f t="shared" si="21"/>
        <v>61.714285714285701</v>
      </c>
      <c r="M90" s="48">
        <f t="shared" si="21"/>
        <v>56.967032967032992</v>
      </c>
    </row>
    <row r="91" spans="1:14" x14ac:dyDescent="0.3">
      <c r="A91" s="66"/>
    </row>
    <row r="92" spans="1:14" ht="15" thickBot="1" x14ac:dyDescent="0.35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14" ht="15" thickBot="1" x14ac:dyDescent="0.35">
      <c r="A93" s="67"/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14" x14ac:dyDescent="0.3">
      <c r="C94" s="20" t="s">
        <v>1</v>
      </c>
      <c r="D94" s="28" t="s">
        <v>51</v>
      </c>
      <c r="E94" s="1">
        <f>+E21*E$88</f>
        <v>7.2633039126453172</v>
      </c>
      <c r="F94" s="2">
        <f t="shared" ref="F94:M94" si="22">+F21*F$88</f>
        <v>4.0321638939204076</v>
      </c>
      <c r="G94" s="2">
        <f t="shared" si="22"/>
        <v>7.7031793492531477</v>
      </c>
      <c r="H94" s="2">
        <f t="shared" si="22"/>
        <v>1.0672622066529518</v>
      </c>
      <c r="I94" s="2">
        <f t="shared" si="22"/>
        <v>0.40127604287518537</v>
      </c>
      <c r="J94" s="2">
        <f t="shared" si="22"/>
        <v>6.150505198116262</v>
      </c>
      <c r="K94" s="2">
        <f t="shared" si="22"/>
        <v>2.5798087535023195</v>
      </c>
      <c r="L94" s="2">
        <f t="shared" si="22"/>
        <v>5.5848380450572934</v>
      </c>
      <c r="M94" s="3">
        <f t="shared" si="22"/>
        <v>1.833567381149515</v>
      </c>
      <c r="N94" s="19"/>
    </row>
    <row r="95" spans="1:14" x14ac:dyDescent="0.3">
      <c r="C95" s="20" t="s">
        <v>1</v>
      </c>
      <c r="D95" s="25" t="s">
        <v>52</v>
      </c>
      <c r="E95" s="5">
        <f t="shared" ref="E95:M102" si="23">+E22*E$88</f>
        <v>6.8076173509070417</v>
      </c>
      <c r="F95" s="6">
        <f t="shared" si="23"/>
        <v>3.7812626055745131</v>
      </c>
      <c r="G95" s="6">
        <f t="shared" si="23"/>
        <v>7.8967497429299982</v>
      </c>
      <c r="H95" s="6">
        <f t="shared" si="23"/>
        <v>4.9317180153517253</v>
      </c>
      <c r="I95" s="6">
        <f t="shared" si="23"/>
        <v>1.9862527133878862</v>
      </c>
      <c r="J95" s="6">
        <f t="shared" si="23"/>
        <v>8.7985263217892467</v>
      </c>
      <c r="K95" s="6">
        <f t="shared" si="23"/>
        <v>2.3065686480609036</v>
      </c>
      <c r="L95" s="6">
        <f t="shared" si="23"/>
        <v>4.9246174683325465</v>
      </c>
      <c r="M95" s="7">
        <f t="shared" si="23"/>
        <v>6.4880350606649628</v>
      </c>
      <c r="N95" s="19"/>
    </row>
    <row r="96" spans="1:14" x14ac:dyDescent="0.3">
      <c r="C96" s="20" t="s">
        <v>1</v>
      </c>
      <c r="D96" s="25" t="s">
        <v>53</v>
      </c>
      <c r="E96" s="5">
        <f t="shared" si="23"/>
        <v>1.3270097337100681</v>
      </c>
      <c r="F96" s="6">
        <f t="shared" si="23"/>
        <v>0.62507876853487221</v>
      </c>
      <c r="G96" s="6">
        <f t="shared" si="23"/>
        <v>0.71437573546842581</v>
      </c>
      <c r="H96" s="6">
        <f t="shared" si="23"/>
        <v>6.6905883962672723</v>
      </c>
      <c r="I96" s="6">
        <f t="shared" si="23"/>
        <v>4.0655708509723691</v>
      </c>
      <c r="J96" s="6">
        <f t="shared" si="23"/>
        <v>3.4404920824374954</v>
      </c>
      <c r="K96" s="6">
        <f t="shared" si="23"/>
        <v>6.0655096277323945</v>
      </c>
      <c r="L96" s="6">
        <f t="shared" si="23"/>
        <v>3.7976799501717107</v>
      </c>
      <c r="M96" s="7">
        <f t="shared" si="23"/>
        <v>6.4226974954666067</v>
      </c>
      <c r="N96" s="19"/>
    </row>
    <row r="97" spans="3:25" x14ac:dyDescent="0.3">
      <c r="C97" s="20" t="s">
        <v>10</v>
      </c>
      <c r="D97" s="25" t="str">
        <f>+D94</f>
        <v>Agr</v>
      </c>
      <c r="E97" s="5">
        <f t="shared" si="23"/>
        <v>8.4665057228453975</v>
      </c>
      <c r="F97" s="6">
        <f t="shared" si="23"/>
        <v>5.8523883461428463</v>
      </c>
      <c r="G97" s="6">
        <f t="shared" si="23"/>
        <v>5.3483608254435664</v>
      </c>
      <c r="H97" s="6">
        <f t="shared" si="23"/>
        <v>6.9715184122962937</v>
      </c>
      <c r="I97" s="6">
        <f t="shared" si="23"/>
        <v>9.4832761971880668</v>
      </c>
      <c r="J97" s="6">
        <f t="shared" si="23"/>
        <v>8.4238735527143795</v>
      </c>
      <c r="K97" s="6">
        <f t="shared" si="23"/>
        <v>9.4832761971880668</v>
      </c>
      <c r="L97" s="6">
        <f t="shared" si="23"/>
        <v>9.3124737507534299</v>
      </c>
      <c r="M97" s="7">
        <f t="shared" si="23"/>
        <v>8.6460236022241403</v>
      </c>
      <c r="N97" s="19"/>
    </row>
    <row r="98" spans="3:25" x14ac:dyDescent="0.3">
      <c r="C98" s="20" t="s">
        <v>10</v>
      </c>
      <c r="D98" s="25" t="str">
        <f t="shared" ref="D98:D102" si="24">+D95</f>
        <v>Ind</v>
      </c>
      <c r="E98" s="5">
        <f t="shared" si="23"/>
        <v>3.8547536906920641</v>
      </c>
      <c r="F98" s="6">
        <f t="shared" si="23"/>
        <v>2.2607740924667312</v>
      </c>
      <c r="G98" s="6">
        <f t="shared" si="23"/>
        <v>3.1342398885400273</v>
      </c>
      <c r="H98" s="6">
        <f t="shared" si="23"/>
        <v>6.0971989436400102</v>
      </c>
      <c r="I98" s="6">
        <f t="shared" si="23"/>
        <v>6.6623592395212192</v>
      </c>
      <c r="J98" s="6">
        <f t="shared" si="23"/>
        <v>4.1104741846773507</v>
      </c>
      <c r="K98" s="6">
        <f t="shared" si="23"/>
        <v>8.7861086652359131</v>
      </c>
      <c r="L98" s="6">
        <f t="shared" si="23"/>
        <v>2.3635425925307598</v>
      </c>
      <c r="M98" s="7">
        <f t="shared" si="23"/>
        <v>7.809874369098587</v>
      </c>
      <c r="N98" s="19"/>
    </row>
    <row r="99" spans="3:25" x14ac:dyDescent="0.3">
      <c r="C99" s="20" t="s">
        <v>10</v>
      </c>
      <c r="D99" s="25" t="str">
        <f t="shared" si="24"/>
        <v>Serv</v>
      </c>
      <c r="E99" s="5">
        <f t="shared" si="23"/>
        <v>5.5156980358552623</v>
      </c>
      <c r="F99" s="6">
        <f t="shared" si="23"/>
        <v>4.2938501813094812</v>
      </c>
      <c r="G99" s="6">
        <f t="shared" si="23"/>
        <v>3.6623815154239026</v>
      </c>
      <c r="H99" s="6">
        <f t="shared" si="23"/>
        <v>2.4309378480314239</v>
      </c>
      <c r="I99" s="6">
        <f t="shared" si="23"/>
        <v>7.7668138880864506</v>
      </c>
      <c r="J99" s="6">
        <f t="shared" si="23"/>
        <v>2.0206085663588818</v>
      </c>
      <c r="K99" s="6">
        <f t="shared" si="23"/>
        <v>1.7679755177671652</v>
      </c>
      <c r="L99" s="6">
        <f t="shared" si="23"/>
        <v>5.3041544644889242</v>
      </c>
      <c r="M99" s="7">
        <f t="shared" si="23"/>
        <v>2.1468111350610282</v>
      </c>
      <c r="N99" s="19"/>
    </row>
    <row r="100" spans="3:25" x14ac:dyDescent="0.3">
      <c r="C100" s="20" t="s">
        <v>11</v>
      </c>
      <c r="D100" s="25" t="str">
        <f t="shared" si="24"/>
        <v>Agr</v>
      </c>
      <c r="E100" s="5">
        <f t="shared" si="23"/>
        <v>4.1022299732521894</v>
      </c>
      <c r="F100" s="6">
        <f t="shared" si="23"/>
        <v>9.2364428088438881</v>
      </c>
      <c r="G100" s="6">
        <f t="shared" si="23"/>
        <v>7.9815543791011443</v>
      </c>
      <c r="H100" s="6">
        <f t="shared" si="23"/>
        <v>8.2140651726218294</v>
      </c>
      <c r="I100" s="6">
        <f t="shared" si="23"/>
        <v>9.2364428088438864</v>
      </c>
      <c r="J100" s="6">
        <f t="shared" si="23"/>
        <v>1.6784670407404265</v>
      </c>
      <c r="K100" s="6">
        <f t="shared" si="23"/>
        <v>7.0579100982167535</v>
      </c>
      <c r="L100" s="6">
        <f t="shared" si="23"/>
        <v>9.003932015323203</v>
      </c>
      <c r="M100" s="7">
        <f t="shared" si="23"/>
        <v>7.6853543130881246</v>
      </c>
      <c r="N100" s="19"/>
    </row>
    <row r="101" spans="3:25" x14ac:dyDescent="0.3">
      <c r="C101" s="20" t="s">
        <v>11</v>
      </c>
      <c r="D101" s="25" t="str">
        <f t="shared" si="24"/>
        <v>Ind</v>
      </c>
      <c r="E101" s="5">
        <f t="shared" si="23"/>
        <v>1.7098670534415961</v>
      </c>
      <c r="F101" s="6">
        <f t="shared" si="23"/>
        <v>7.0448581890276278</v>
      </c>
      <c r="G101" s="6">
        <f t="shared" si="23"/>
        <v>1.0492210335166294</v>
      </c>
      <c r="H101" s="6">
        <f t="shared" si="23"/>
        <v>8.0980832605704709</v>
      </c>
      <c r="I101" s="6">
        <f t="shared" si="23"/>
        <v>0.41154604583088561</v>
      </c>
      <c r="J101" s="6">
        <f t="shared" si="23"/>
        <v>1.1845786026844951</v>
      </c>
      <c r="K101" s="6">
        <f t="shared" si="23"/>
        <v>7.027638684183164</v>
      </c>
      <c r="L101" s="6">
        <f t="shared" si="23"/>
        <v>8.8187874924522287</v>
      </c>
      <c r="M101" s="7">
        <f t="shared" si="23"/>
        <v>1.8090381235519866</v>
      </c>
      <c r="N101" s="19"/>
    </row>
    <row r="102" spans="3:25" x14ac:dyDescent="0.3">
      <c r="C102" s="20" t="s">
        <v>11</v>
      </c>
      <c r="D102" s="25" t="str">
        <f t="shared" si="24"/>
        <v>Serv</v>
      </c>
      <c r="E102" s="9">
        <f t="shared" si="23"/>
        <v>8.2947527652277113</v>
      </c>
      <c r="F102" s="10">
        <f t="shared" si="23"/>
        <v>2.1342592515470398</v>
      </c>
      <c r="G102" s="10">
        <f t="shared" si="23"/>
        <v>3.6840292649835509</v>
      </c>
      <c r="H102" s="10">
        <f t="shared" si="23"/>
        <v>9.0152434164220399</v>
      </c>
      <c r="I102" s="10">
        <f t="shared" si="23"/>
        <v>1.2663933492394803</v>
      </c>
      <c r="J102" s="10">
        <f t="shared" si="23"/>
        <v>0.58448923811052989</v>
      </c>
      <c r="K102" s="10">
        <f t="shared" si="23"/>
        <v>3.2500963138297703</v>
      </c>
      <c r="L102" s="10">
        <f t="shared" si="23"/>
        <v>0.97414873018421599</v>
      </c>
      <c r="M102" s="11">
        <f t="shared" si="23"/>
        <v>6.544466086739634</v>
      </c>
      <c r="N102" s="19"/>
    </row>
    <row r="103" spans="3:25" x14ac:dyDescent="0.3">
      <c r="N103" s="19">
        <f>+SUM(E94:M102)</f>
        <v>406.76040428808841</v>
      </c>
    </row>
    <row r="104" spans="3:25" ht="15" thickBot="1" x14ac:dyDescent="0.35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25" ht="15" thickBot="1" x14ac:dyDescent="0.35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25" x14ac:dyDescent="0.3">
      <c r="C106" s="20" t="s">
        <v>1</v>
      </c>
      <c r="D106" s="28" t="s">
        <v>51</v>
      </c>
      <c r="E106" s="1">
        <f>+MAX(E94-E78,0)</f>
        <v>0</v>
      </c>
      <c r="F106" s="2">
        <f t="shared" ref="F106:M106" si="25">+MAX(F94-F78,0)</f>
        <v>5.5472494945241646E-2</v>
      </c>
      <c r="G106" s="2">
        <f t="shared" si="25"/>
        <v>0.10597649023097055</v>
      </c>
      <c r="H106" s="2">
        <f t="shared" si="25"/>
        <v>1.4682859854251218E-2</v>
      </c>
      <c r="I106" s="2">
        <f t="shared" si="25"/>
        <v>5.5205551772344319E-3</v>
      </c>
      <c r="J106" s="2">
        <f t="shared" si="25"/>
        <v>8.4615575529458198E-2</v>
      </c>
      <c r="K106" s="2">
        <f t="shared" si="25"/>
        <v>3.5491719038037939E-2</v>
      </c>
      <c r="L106" s="2">
        <f t="shared" si="25"/>
        <v>7.6833409646753559E-2</v>
      </c>
      <c r="M106" s="3">
        <f t="shared" si="25"/>
        <v>2.5225303325574489E-2</v>
      </c>
      <c r="N106" s="53">
        <f>+SUM(E106:M106)</f>
        <v>0.40381840774752203</v>
      </c>
    </row>
    <row r="107" spans="3:25" x14ac:dyDescent="0.3">
      <c r="C107" s="20" t="s">
        <v>1</v>
      </c>
      <c r="D107" s="25" t="s">
        <v>52</v>
      </c>
      <c r="E107" s="5">
        <f t="shared" ref="E107:M114" si="26">+MAX(E95-E79,0)</f>
        <v>0</v>
      </c>
      <c r="F107" s="6">
        <f t="shared" si="26"/>
        <v>5.202072045995676E-2</v>
      </c>
      <c r="G107" s="6">
        <f t="shared" si="26"/>
        <v>0.10863953493036327</v>
      </c>
      <c r="H107" s="6">
        <f t="shared" si="26"/>
        <v>6.7848110809795692E-2</v>
      </c>
      <c r="I107" s="6">
        <f t="shared" si="26"/>
        <v>2.7325871790457645E-2</v>
      </c>
      <c r="J107" s="6">
        <f t="shared" si="26"/>
        <v>0.12104572625307419</v>
      </c>
      <c r="K107" s="6">
        <f t="shared" si="26"/>
        <v>3.1732618275594149E-2</v>
      </c>
      <c r="L107" s="6">
        <f t="shared" si="26"/>
        <v>6.7750425033868744E-2</v>
      </c>
      <c r="M107" s="7">
        <f t="shared" si="26"/>
        <v>8.9259142628088206E-2</v>
      </c>
      <c r="N107" s="8">
        <f t="shared" ref="N107:N114" si="27">+SUM(E107:M107)</f>
        <v>0.56562215018119866</v>
      </c>
    </row>
    <row r="108" spans="3:25" x14ac:dyDescent="0.3">
      <c r="C108" s="20" t="s">
        <v>1</v>
      </c>
      <c r="D108" s="25" t="s">
        <v>53</v>
      </c>
      <c r="E108" s="5">
        <f t="shared" si="26"/>
        <v>0</v>
      </c>
      <c r="F108" s="6">
        <f t="shared" si="26"/>
        <v>8.5995211851904729E-3</v>
      </c>
      <c r="G108" s="6">
        <f t="shared" si="26"/>
        <v>9.8280242116460803E-3</v>
      </c>
      <c r="H108" s="6">
        <f t="shared" si="26"/>
        <v>9.2045770151417905E-2</v>
      </c>
      <c r="I108" s="6">
        <f t="shared" si="26"/>
        <v>5.5932091158330088E-2</v>
      </c>
      <c r="J108" s="6">
        <f t="shared" si="26"/>
        <v>4.7332569973139282E-2</v>
      </c>
      <c r="K108" s="6">
        <f t="shared" si="26"/>
        <v>8.3446248966221326E-2</v>
      </c>
      <c r="L108" s="6">
        <f t="shared" si="26"/>
        <v>5.2246582078964376E-2</v>
      </c>
      <c r="M108" s="7">
        <f t="shared" si="26"/>
        <v>8.8360261072041979E-2</v>
      </c>
      <c r="N108" s="8">
        <f t="shared" si="27"/>
        <v>0.43779106879695151</v>
      </c>
    </row>
    <row r="109" spans="3:25" x14ac:dyDescent="0.3">
      <c r="C109" s="20" t="s">
        <v>10</v>
      </c>
      <c r="D109" s="25" t="str">
        <f>+D106</f>
        <v>Agr</v>
      </c>
      <c r="E109" s="5">
        <f t="shared" si="26"/>
        <v>0</v>
      </c>
      <c r="F109" s="6">
        <f t="shared" si="26"/>
        <v>8.0514232925525064E-2</v>
      </c>
      <c r="G109" s="6">
        <f t="shared" si="26"/>
        <v>7.3580074287675323E-2</v>
      </c>
      <c r="H109" s="6">
        <f t="shared" si="26"/>
        <v>9.59106648591046E-2</v>
      </c>
      <c r="I109" s="6">
        <f t="shared" si="26"/>
        <v>0.13046617269353078</v>
      </c>
      <c r="J109" s="6">
        <f t="shared" si="26"/>
        <v>0.1158914407663012</v>
      </c>
      <c r="K109" s="6">
        <f t="shared" si="26"/>
        <v>0.130466172693529</v>
      </c>
      <c r="L109" s="6">
        <f t="shared" si="26"/>
        <v>0.12811635802931143</v>
      </c>
      <c r="M109" s="7">
        <f t="shared" si="26"/>
        <v>0.11894767008205065</v>
      </c>
      <c r="N109" s="8">
        <f t="shared" si="27"/>
        <v>0.87389278633702805</v>
      </c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3:25" x14ac:dyDescent="0.3">
      <c r="C110" s="20" t="s">
        <v>10</v>
      </c>
      <c r="D110" s="25" t="str">
        <f t="shared" ref="D110:D114" si="28">+D107</f>
        <v>Ind</v>
      </c>
      <c r="E110" s="5">
        <f t="shared" si="26"/>
        <v>0</v>
      </c>
      <c r="F110" s="6">
        <f t="shared" si="26"/>
        <v>3.1102599675024489E-2</v>
      </c>
      <c r="G110" s="6">
        <f t="shared" si="26"/>
        <v>4.311930540233222E-2</v>
      </c>
      <c r="H110" s="6">
        <f t="shared" si="26"/>
        <v>8.3882214731199056E-2</v>
      </c>
      <c r="I110" s="6">
        <f t="shared" si="26"/>
        <v>9.1657407526257728E-2</v>
      </c>
      <c r="J110" s="6">
        <f t="shared" si="26"/>
        <v>5.6549848773720157E-2</v>
      </c>
      <c r="K110" s="6">
        <f t="shared" si="26"/>
        <v>0.12087489034250432</v>
      </c>
      <c r="L110" s="6">
        <f t="shared" si="26"/>
        <v>3.2516437319106473E-2</v>
      </c>
      <c r="M110" s="7">
        <f t="shared" si="26"/>
        <v>0.10744434697111238</v>
      </c>
      <c r="N110" s="8">
        <f t="shared" si="27"/>
        <v>0.56714705074125682</v>
      </c>
    </row>
    <row r="111" spans="3:25" x14ac:dyDescent="0.3">
      <c r="C111" s="20" t="s">
        <v>10</v>
      </c>
      <c r="D111" s="25" t="str">
        <f t="shared" si="28"/>
        <v>Serv</v>
      </c>
      <c r="E111" s="5">
        <f t="shared" si="26"/>
        <v>0</v>
      </c>
      <c r="F111" s="6">
        <f t="shared" si="26"/>
        <v>5.9072644055330414E-2</v>
      </c>
      <c r="G111" s="6">
        <f t="shared" si="26"/>
        <v>5.0385213857060851E-2</v>
      </c>
      <c r="H111" s="6">
        <f t="shared" si="26"/>
        <v>3.344362754957686E-2</v>
      </c>
      <c r="I111" s="6">
        <f t="shared" si="26"/>
        <v>0.10685194240172624</v>
      </c>
      <c r="J111" s="6">
        <f t="shared" si="26"/>
        <v>2.7798522439193674E-2</v>
      </c>
      <c r="K111" s="6">
        <f t="shared" si="26"/>
        <v>2.4322923262251717E-2</v>
      </c>
      <c r="L111" s="6">
        <f t="shared" si="26"/>
        <v>7.2971905274928694E-2</v>
      </c>
      <c r="M111" s="7">
        <f t="shared" si="26"/>
        <v>2.9534754283578657E-2</v>
      </c>
      <c r="N111" s="8">
        <f t="shared" si="27"/>
        <v>0.40438153312364711</v>
      </c>
    </row>
    <row r="112" spans="3:25" x14ac:dyDescent="0.3">
      <c r="C112" s="20" t="s">
        <v>11</v>
      </c>
      <c r="D112" s="25" t="str">
        <f t="shared" si="28"/>
        <v>Agr</v>
      </c>
      <c r="E112" s="5">
        <f t="shared" si="26"/>
        <v>0</v>
      </c>
      <c r="F112" s="6">
        <f t="shared" si="26"/>
        <v>0.12707036234269786</v>
      </c>
      <c r="G112" s="6">
        <f t="shared" si="26"/>
        <v>0.10980623471616191</v>
      </c>
      <c r="H112" s="6">
        <f t="shared" si="26"/>
        <v>0.11300500196809793</v>
      </c>
      <c r="I112" s="6">
        <f t="shared" si="26"/>
        <v>0.12707036234269786</v>
      </c>
      <c r="J112" s="6">
        <f t="shared" si="26"/>
        <v>2.3091510385679914E-2</v>
      </c>
      <c r="K112" s="6">
        <f t="shared" si="26"/>
        <v>9.7099198481890525E-2</v>
      </c>
      <c r="L112" s="6">
        <f t="shared" si="26"/>
        <v>0.12387159509076717</v>
      </c>
      <c r="M112" s="7">
        <f t="shared" si="26"/>
        <v>0.10573126229515495</v>
      </c>
      <c r="N112" s="8">
        <f t="shared" si="27"/>
        <v>0.82674552762314812</v>
      </c>
    </row>
    <row r="113" spans="1:14" x14ac:dyDescent="0.3">
      <c r="C113" s="20" t="s">
        <v>11</v>
      </c>
      <c r="D113" s="25" t="str">
        <f t="shared" si="28"/>
        <v>Ind</v>
      </c>
      <c r="E113" s="5">
        <f t="shared" si="26"/>
        <v>0</v>
      </c>
      <c r="F113" s="6">
        <f t="shared" si="26"/>
        <v>9.6919636840657297E-2</v>
      </c>
      <c r="G113" s="6">
        <f t="shared" si="26"/>
        <v>1.4434658414046453E-2</v>
      </c>
      <c r="H113" s="6">
        <f t="shared" si="26"/>
        <v>0.11140938080802787</v>
      </c>
      <c r="I113" s="6">
        <f t="shared" si="26"/>
        <v>5.6618447433423591E-3</v>
      </c>
      <c r="J113" s="6">
        <f t="shared" si="26"/>
        <v>1.629684017773525E-2</v>
      </c>
      <c r="K113" s="6">
        <f t="shared" si="26"/>
        <v>9.6682739502012893E-2</v>
      </c>
      <c r="L113" s="6">
        <f t="shared" si="26"/>
        <v>0.12132446930935181</v>
      </c>
      <c r="M113" s="7">
        <f t="shared" si="26"/>
        <v>2.4887842063114229E-2</v>
      </c>
      <c r="N113" s="8">
        <f t="shared" si="27"/>
        <v>0.48761741185828816</v>
      </c>
    </row>
    <row r="114" spans="1:14" x14ac:dyDescent="0.3">
      <c r="C114" s="20" t="s">
        <v>11</v>
      </c>
      <c r="D114" s="25" t="str">
        <f t="shared" si="28"/>
        <v>Serv</v>
      </c>
      <c r="E114" s="9">
        <f t="shared" si="26"/>
        <v>0</v>
      </c>
      <c r="F114" s="10">
        <f t="shared" si="26"/>
        <v>2.9362071745592466E-2</v>
      </c>
      <c r="G114" s="10">
        <f t="shared" si="26"/>
        <v>5.0683032772564918E-2</v>
      </c>
      <c r="H114" s="10">
        <f t="shared" si="26"/>
        <v>0.12402721169187991</v>
      </c>
      <c r="I114" s="10">
        <f t="shared" si="26"/>
        <v>1.7422406557008996E-2</v>
      </c>
      <c r="J114" s="10">
        <f t="shared" si="26"/>
        <v>8.0411107186194597E-3</v>
      </c>
      <c r="K114" s="10">
        <f t="shared" si="26"/>
        <v>4.4713200178272405E-2</v>
      </c>
      <c r="L114" s="10">
        <f t="shared" si="26"/>
        <v>1.3401851197699655E-2</v>
      </c>
      <c r="M114" s="11">
        <f t="shared" si="26"/>
        <v>9.0035492471755241E-2</v>
      </c>
      <c r="N114" s="12">
        <f t="shared" si="27"/>
        <v>0.37768637733339305</v>
      </c>
    </row>
    <row r="115" spans="1:14" x14ac:dyDescent="0.3">
      <c r="C115" s="57"/>
      <c r="D115" s="57"/>
      <c r="N115" s="19">
        <f>+SUM(E106:M114)</f>
        <v>4.9447023137424342</v>
      </c>
    </row>
    <row r="116" spans="1:14" x14ac:dyDescent="0.3">
      <c r="A116" s="66"/>
    </row>
    <row r="117" spans="1:14" x14ac:dyDescent="0.3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</row>
    <row r="118" spans="1:14" x14ac:dyDescent="0.3">
      <c r="A118" s="67"/>
      <c r="C118" s="20" t="s">
        <v>1</v>
      </c>
      <c r="D118" s="28" t="s">
        <v>51</v>
      </c>
      <c r="E118" s="53">
        <f t="shared" ref="E118:E126" si="29">+MAX(F60-H47-SUM(E78:M78),0)</f>
        <v>0.25401467819827417</v>
      </c>
      <c r="F118" s="53" cm="1">
        <f t="array" ref="F118">+E118/_xlfn.XLOOKUP(D118,_xlfn.ANCHORARRAY($I$118),$K$118:$K$120,,0)</f>
        <v>0.12070320837586508</v>
      </c>
      <c r="G118" s="53" cm="1">
        <f t="array" ref="G118">+E118/_xlfn.XLOOKUP(D118,_xlfn.ANCHORARRAY($I$118),$J$118:$J$120,,0)</f>
        <v>0.21296296296296621</v>
      </c>
      <c r="I118" s="54" t="str" cm="1">
        <f t="array" ref="I118:I120">+_xlfn.UNIQUE(D118:D126)</f>
        <v>Agr</v>
      </c>
      <c r="J118" s="58">
        <f>+SUMIF($D$118:$D$126,I118,$E$118:$E$126)</f>
        <v>1.19276457588753</v>
      </c>
      <c r="K118" s="40">
        <f>+SUMIF($D$106:$D$114,I118,$N$106:$N$114)</f>
        <v>2.1044567217076979</v>
      </c>
      <c r="L118" s="40">
        <f>+J118/K118</f>
        <v>0.56678028280840131</v>
      </c>
      <c r="M118" s="18"/>
    </row>
    <row r="119" spans="1:14" x14ac:dyDescent="0.3">
      <c r="C119" s="20" t="s">
        <v>1</v>
      </c>
      <c r="D119" s="25" t="s">
        <v>52</v>
      </c>
      <c r="E119" s="8">
        <f t="shared" si="29"/>
        <v>0.33132349330208655</v>
      </c>
      <c r="F119" s="8" cm="1">
        <f t="array" ref="F119">+E119/_xlfn.XLOOKUP(D119,_xlfn.ANCHORARRAY($I$118),$K$118:$K$120,,0)</f>
        <v>0.20447187769189396</v>
      </c>
      <c r="G119" s="8" cm="1">
        <f t="array" ref="G119">+E119/_xlfn.XLOOKUP(D119,_xlfn.ANCHORARRAY($I$118),$J$118:$J$120,,0)</f>
        <v>0.36923076923075865</v>
      </c>
      <c r="I119" s="55" t="str">
        <v>Ind</v>
      </c>
      <c r="J119" s="59">
        <f t="shared" ref="J119:J120" si="30">+SUMIF($D$118:$D$126,I119,$E$118:$E$126)</f>
        <v>0.89733446102651016</v>
      </c>
      <c r="K119" s="41">
        <f t="shared" ref="K119:K120" si="31">+SUMIF($D$106:$D$114,I119,$N$106:$N$114)</f>
        <v>1.6203866127807436</v>
      </c>
      <c r="L119" s="41">
        <f t="shared" ref="L119:L120" si="32">+J119/K119</f>
        <v>0.55377800208222872</v>
      </c>
      <c r="M119" s="18"/>
    </row>
    <row r="120" spans="1:14" x14ac:dyDescent="0.3">
      <c r="C120" s="20" t="s">
        <v>1</v>
      </c>
      <c r="D120" s="25" t="s">
        <v>53</v>
      </c>
      <c r="E120" s="8">
        <f t="shared" si="29"/>
        <v>0.22778490164518672</v>
      </c>
      <c r="F120" s="8" cm="1">
        <f t="array" ref="F120">+E120/_xlfn.XLOOKUP(D120,_xlfn.ANCHORARRAY($I$118),$K$118:$K$120,,0)</f>
        <v>0.1867305201003556</v>
      </c>
      <c r="G120" s="8" cm="1">
        <f t="array" ref="G120">+E120/_xlfn.XLOOKUP(D120,_xlfn.ANCHORARRAY($I$118),$J$118:$J$120,,0)</f>
        <v>0.31730769230768757</v>
      </c>
      <c r="I120" s="56" t="str">
        <v>Serv</v>
      </c>
      <c r="J120" s="60">
        <f t="shared" si="30"/>
        <v>0.71786756882120528</v>
      </c>
      <c r="K120" s="42">
        <f t="shared" si="31"/>
        <v>1.2198589792539916</v>
      </c>
      <c r="L120" s="42">
        <f t="shared" si="32"/>
        <v>0.58848406334658399</v>
      </c>
      <c r="M120" s="18"/>
    </row>
    <row r="121" spans="1:14" x14ac:dyDescent="0.3">
      <c r="C121" s="20" t="s">
        <v>10</v>
      </c>
      <c r="D121" s="25" t="str">
        <f>+D118</f>
        <v>Agr</v>
      </c>
      <c r="E121" s="8">
        <f t="shared" si="29"/>
        <v>0.49698523995313337</v>
      </c>
      <c r="F121" s="8" cm="1">
        <f t="array" ref="F121">+E121/_xlfn.XLOOKUP(D121,_xlfn.ANCHORARRAY($I$118),$K$118:$K$120,,0)</f>
        <v>0.23615845117016523</v>
      </c>
      <c r="G121" s="8" cm="1">
        <f t="array" ref="G121">+E121/_xlfn.XLOOKUP(D121,_xlfn.ANCHORARRAY($I$118),$J$118:$J$120,,0)</f>
        <v>0.41666666666666319</v>
      </c>
    </row>
    <row r="122" spans="1:14" x14ac:dyDescent="0.3">
      <c r="C122" s="20" t="s">
        <v>10</v>
      </c>
      <c r="D122" s="25" t="str">
        <f t="shared" ref="D122:D126" si="33">+D119</f>
        <v>Ind</v>
      </c>
      <c r="E122" s="8">
        <f t="shared" si="29"/>
        <v>0.31061577497071369</v>
      </c>
      <c r="F122" s="8" cm="1">
        <f t="array" ref="F122">+E122/_xlfn.XLOOKUP(D122,_xlfn.ANCHORARRAY($I$118),$K$118:$K$120,,0)</f>
        <v>0.19169238533615526</v>
      </c>
      <c r="G122" s="8" cm="1">
        <f t="array" ref="G122">+E122/_xlfn.XLOOKUP(D122,_xlfn.ANCHORARRAY($I$118),$J$118:$J$120,,0)</f>
        <v>0.34615384615384465</v>
      </c>
      <c r="I122" s="20" t="s">
        <v>39</v>
      </c>
    </row>
    <row r="123" spans="1:14" x14ac:dyDescent="0.3">
      <c r="C123" s="20" t="s">
        <v>10</v>
      </c>
      <c r="D123" s="25" t="str">
        <f t="shared" si="33"/>
        <v>Serv</v>
      </c>
      <c r="E123" s="8">
        <f t="shared" si="29"/>
        <v>0.24159004719945187</v>
      </c>
      <c r="F123" s="8" cm="1">
        <f t="array" ref="F123">+E123/_xlfn.XLOOKUP(D123,_xlfn.ANCHORARRAY($I$118),$K$118:$K$120,,0)</f>
        <v>0.19804752131856831</v>
      </c>
      <c r="G123" s="8" cm="1">
        <f t="array" ref="G123">+E123/_xlfn.XLOOKUP(D123,_xlfn.ANCHORARRAY($I$118),$J$118:$J$120,,0)</f>
        <v>0.33653846153847239</v>
      </c>
      <c r="I123" s="69">
        <v>1</v>
      </c>
    </row>
    <row r="124" spans="1:14" x14ac:dyDescent="0.3">
      <c r="C124" s="20" t="s">
        <v>11</v>
      </c>
      <c r="D124" s="25" t="str">
        <f t="shared" si="33"/>
        <v>Agr</v>
      </c>
      <c r="E124" s="8">
        <f t="shared" si="29"/>
        <v>0.4417646577361225</v>
      </c>
      <c r="F124" s="8" cm="1">
        <f t="array" ref="F124">+E124/_xlfn.XLOOKUP(D124,_xlfn.ANCHORARRAY($I$118),$K$118:$K$120,,0)</f>
        <v>0.20991862326237096</v>
      </c>
      <c r="G124" s="8" cm="1">
        <f t="array" ref="G124">+E124/_xlfn.XLOOKUP(D124,_xlfn.ANCHORARRAY($I$118),$J$118:$J$120,,0)</f>
        <v>0.37037037037037057</v>
      </c>
    </row>
    <row r="125" spans="1:14" x14ac:dyDescent="0.3">
      <c r="C125" s="20" t="s">
        <v>11</v>
      </c>
      <c r="D125" s="25" t="str">
        <f t="shared" si="33"/>
        <v>Ind</v>
      </c>
      <c r="E125" s="8">
        <f t="shared" si="29"/>
        <v>0.25539519275370992</v>
      </c>
      <c r="F125" s="8" cm="1">
        <f t="array" ref="F125">+E125/_xlfn.XLOOKUP(D125,_xlfn.ANCHORARRAY($I$118),$K$118:$K$120,,0)</f>
        <v>0.1576137390541795</v>
      </c>
      <c r="G125" s="8" cm="1">
        <f t="array" ref="G125">+E125/_xlfn.XLOOKUP(D125,_xlfn.ANCHORARRAY($I$118),$J$118:$J$120,,0)</f>
        <v>0.28461538461539676</v>
      </c>
    </row>
    <row r="126" spans="1:14" x14ac:dyDescent="0.3">
      <c r="C126" s="20" t="s">
        <v>11</v>
      </c>
      <c r="D126" s="25" t="str">
        <f t="shared" si="33"/>
        <v>Serv</v>
      </c>
      <c r="E126" s="12">
        <f t="shared" si="29"/>
        <v>0.24849261997656669</v>
      </c>
      <c r="F126" s="12" cm="1">
        <f t="array" ref="F126">+E126/_xlfn.XLOOKUP(D126,_xlfn.ANCHORARRAY($I$118),$K$118:$K$120,,0)</f>
        <v>0.2037060219276601</v>
      </c>
      <c r="G126" s="12" cm="1">
        <f t="array" ref="G126">+E126/_xlfn.XLOOKUP(D126,_xlfn.ANCHORARRAY($I$118),$J$118:$J$120,,0)</f>
        <v>0.34615384615384004</v>
      </c>
    </row>
    <row r="127" spans="1:14" x14ac:dyDescent="0.3">
      <c r="E127" s="19">
        <f>SUM(E118:E126)</f>
        <v>2.8079666057352455</v>
      </c>
      <c r="G127" s="19">
        <f>SUM(G118:G126)</f>
        <v>3</v>
      </c>
    </row>
    <row r="128" spans="1:14" x14ac:dyDescent="0.3">
      <c r="A128" s="64"/>
      <c r="E128" s="19"/>
      <c r="G128" s="19"/>
    </row>
    <row r="129" spans="1:24" ht="15" thickBot="1" x14ac:dyDescent="0.35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</row>
    <row r="130" spans="1:24" ht="15" thickBot="1" x14ac:dyDescent="0.35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</row>
    <row r="131" spans="1:24" x14ac:dyDescent="0.3">
      <c r="D131" s="28" t="str" cm="1">
        <f t="array" ref="D131:D133">+_xlfn.UNIQUE(D118:D126)</f>
        <v>Agr</v>
      </c>
      <c r="E131" s="1">
        <f t="shared" ref="E131:M133" si="34">+SUMIF($D$106:$D$114,$D131,E$106:E$114)</f>
        <v>0</v>
      </c>
      <c r="F131" s="2">
        <f t="shared" si="34"/>
        <v>0.26305709021346457</v>
      </c>
      <c r="G131" s="2">
        <f t="shared" si="34"/>
        <v>0.28936279923480779</v>
      </c>
      <c r="H131" s="2">
        <f t="shared" si="34"/>
        <v>0.22359852668145375</v>
      </c>
      <c r="I131" s="2">
        <f t="shared" si="34"/>
        <v>0.26305709021346307</v>
      </c>
      <c r="J131" s="2">
        <f t="shared" si="34"/>
        <v>0.22359852668143931</v>
      </c>
      <c r="K131" s="2">
        <f t="shared" si="34"/>
        <v>0.26305709021345747</v>
      </c>
      <c r="L131" s="2">
        <f t="shared" si="34"/>
        <v>0.32882136276683216</v>
      </c>
      <c r="M131" s="3">
        <f t="shared" si="34"/>
        <v>0.24990423570278009</v>
      </c>
    </row>
    <row r="132" spans="1:24" x14ac:dyDescent="0.3">
      <c r="D132" s="25" t="str">
        <v>Ind</v>
      </c>
      <c r="E132" s="5">
        <f t="shared" si="34"/>
        <v>0</v>
      </c>
      <c r="F132" s="6">
        <f t="shared" si="34"/>
        <v>0.18004295697563855</v>
      </c>
      <c r="G132" s="6">
        <f t="shared" si="34"/>
        <v>0.16619349874674194</v>
      </c>
      <c r="H132" s="6">
        <f t="shared" si="34"/>
        <v>0.26313970634902262</v>
      </c>
      <c r="I132" s="6">
        <f t="shared" si="34"/>
        <v>0.12464512406005773</v>
      </c>
      <c r="J132" s="6">
        <f t="shared" si="34"/>
        <v>0.1938924152045296</v>
      </c>
      <c r="K132" s="6">
        <f t="shared" si="34"/>
        <v>0.24929024812011136</v>
      </c>
      <c r="L132" s="6">
        <f t="shared" si="34"/>
        <v>0.22159133166232703</v>
      </c>
      <c r="M132" s="7">
        <f t="shared" si="34"/>
        <v>0.22159133166231482</v>
      </c>
    </row>
    <row r="133" spans="1:24" x14ac:dyDescent="0.3">
      <c r="D133" s="25" t="str">
        <v>Serv</v>
      </c>
      <c r="E133" s="9">
        <f t="shared" si="34"/>
        <v>0</v>
      </c>
      <c r="F133" s="10">
        <f t="shared" si="34"/>
        <v>9.7034236986113354E-2</v>
      </c>
      <c r="G133" s="10">
        <f t="shared" si="34"/>
        <v>0.11089627084127185</v>
      </c>
      <c r="H133" s="10">
        <f t="shared" si="34"/>
        <v>0.24951660939287468</v>
      </c>
      <c r="I133" s="10">
        <f t="shared" si="34"/>
        <v>0.18020644011706533</v>
      </c>
      <c r="J133" s="10">
        <f t="shared" si="34"/>
        <v>8.3172203130952416E-2</v>
      </c>
      <c r="K133" s="10">
        <f t="shared" si="34"/>
        <v>0.15248237240674545</v>
      </c>
      <c r="L133" s="10">
        <f t="shared" si="34"/>
        <v>0.13862033855159273</v>
      </c>
      <c r="M133" s="11">
        <f t="shared" si="34"/>
        <v>0.20793050782737588</v>
      </c>
      <c r="O133" s="19"/>
    </row>
    <row r="135" spans="1:24" ht="15" thickBot="1" x14ac:dyDescent="0.35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</row>
    <row r="136" spans="1:24" ht="15" thickBot="1" x14ac:dyDescent="0.35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</row>
    <row r="137" spans="1:24" x14ac:dyDescent="0.3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3.1751834774784556E-2</v>
      </c>
      <c r="G137" s="2" cm="1">
        <f t="array" ref="G137">+$I$123*$G118*_xlfn.XLOOKUP($D137,_xlfn.ANCHORARRAY($I$118),$L$118:$L$120,,0)*_xlfn.XLOOKUP($D137,$D$131:$D$133,G$131:G$133,,0)</f>
        <v>3.4927018252262618E-2</v>
      </c>
      <c r="H137" s="2" cm="1">
        <f t="array" ref="H137">+$I$123*$G118*_xlfn.XLOOKUP($D137,_xlfn.ANCHORARRAY($I$118),$L$118:$L$120,,0)*_xlfn.XLOOKUP($D137,$D$131:$D$133,H$131:H$133,,0)</f>
        <v>2.6989059558567941E-2</v>
      </c>
      <c r="I137" s="2" cm="1">
        <f t="array" ref="I137">+$I$123*$G118*_xlfn.XLOOKUP($D137,_xlfn.ANCHORARRAY($I$118),$L$118:$L$120,,0)*_xlfn.XLOOKUP($D137,$D$131:$D$133,I$131:I$133,,0)</f>
        <v>3.1751834774784375E-2</v>
      </c>
      <c r="J137" s="2" cm="1">
        <f t="array" ref="J137">+$I$123*$G118*_xlfn.XLOOKUP($D137,_xlfn.ANCHORARRAY($I$118),$L$118:$L$120,,0)*_xlfn.XLOOKUP($D137,$D$131:$D$133,J$131:J$133,,0)</f>
        <v>2.6989059558566196E-2</v>
      </c>
      <c r="K137" s="2" cm="1">
        <f t="array" ref="K137">+$I$123*$G118*_xlfn.XLOOKUP($D137,_xlfn.ANCHORARRAY($I$118),$L$118:$L$120,,0)*_xlfn.XLOOKUP($D137,$D$131:$D$133,K$131:K$133,,0)</f>
        <v>3.1751834774783695E-2</v>
      </c>
      <c r="L137" s="2" cm="1">
        <f t="array" ref="L137">+$I$123*$G118*_xlfn.XLOOKUP($D137,_xlfn.ANCHORARRAY($I$118),$L$118:$L$120,,0)*_xlfn.XLOOKUP($D137,$D$131:$D$133,L$131:L$133,,0)</f>
        <v>3.9689793468480866E-2</v>
      </c>
      <c r="M137" s="3" cm="1">
        <f t="array" ref="M137">+$I$123*$G118*_xlfn.XLOOKUP($D137,_xlfn.ANCHORARRAY($I$118),$L$118:$L$120,,0)*_xlfn.XLOOKUP($D137,$D$131:$D$133,M$131:M$133,,0)</f>
        <v>3.0164243036043967E-2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x14ac:dyDescent="0.3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</v>
      </c>
      <c r="F138" s="6" cm="1">
        <f t="array" ref="F138">+$I$123*$G119*_xlfn.XLOOKUP($D138,_xlfn.ANCHORARRAY($I$118),$L$118:$L$120,,0)*_xlfn.XLOOKUP($D138,$D$131:$D$133,F$131:F$133,,0)</f>
        <v>3.6813721478009695E-2</v>
      </c>
      <c r="G138" s="6" cm="1">
        <f t="array" ref="G138">+$I$123*$G119*_xlfn.XLOOKUP($D138,_xlfn.ANCHORARRAY($I$118),$L$118:$L$120,,0)*_xlfn.XLOOKUP($D138,$D$131:$D$133,G$131:G$133,,0)</f>
        <v>3.3981896748931754E-2</v>
      </c>
      <c r="H138" s="6" cm="1">
        <f t="array" ref="H138">+$I$123*$G119*_xlfn.XLOOKUP($D138,_xlfn.ANCHORARRAY($I$118),$L$118:$L$120,,0)*_xlfn.XLOOKUP($D138,$D$131:$D$133,H$131:H$133,,0)</f>
        <v>5.3804669852478254E-2</v>
      </c>
      <c r="I138" s="6" cm="1">
        <f t="array" ref="I138">+$I$123*$G119*_xlfn.XLOOKUP($D138,_xlfn.ANCHORARRAY($I$118),$L$118:$L$120,,0)*_xlfn.XLOOKUP($D138,$D$131:$D$133,I$131:I$133,,0)</f>
        <v>2.5486422561699078E-2</v>
      </c>
      <c r="J138" s="6" cm="1">
        <f t="array" ref="J138">+$I$123*$G119*_xlfn.XLOOKUP($D138,_xlfn.ANCHORARRAY($I$118),$L$118:$L$120,,0)*_xlfn.XLOOKUP($D138,$D$131:$D$133,J$131:J$133,,0)</f>
        <v>3.9645546207086504E-2</v>
      </c>
      <c r="K138" s="6" cm="1">
        <f t="array" ref="K138">+$I$123*$G119*_xlfn.XLOOKUP($D138,_xlfn.ANCHORARRAY($I$118),$L$118:$L$120,,0)*_xlfn.XLOOKUP($D138,$D$131:$D$133,K$131:K$133,,0)</f>
        <v>5.0972845123397316E-2</v>
      </c>
      <c r="L138" s="6" cm="1">
        <f t="array" ref="L138">+$I$123*$G119*_xlfn.XLOOKUP($D138,_xlfn.ANCHORARRAY($I$118),$L$118:$L$120,,0)*_xlfn.XLOOKUP($D138,$D$131:$D$133,L$131:L$133,,0)</f>
        <v>4.5309195665243246E-2</v>
      </c>
      <c r="M138" s="7" cm="1">
        <f t="array" ref="M138">+$I$123*$G119*_xlfn.XLOOKUP($D138,_xlfn.ANCHORARRAY($I$118),$L$118:$L$120,,0)*_xlfn.XLOOKUP($D138,$D$131:$D$133,M$131:M$133,,0)</f>
        <v>4.5309195665240748E-2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x14ac:dyDescent="0.3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</v>
      </c>
      <c r="F139" s="6" cm="1">
        <f t="array" ref="F139">+$I$123*$G120*_xlfn.XLOOKUP($D139,_xlfn.ANCHORARRAY($I$118),$L$118:$L$120,,0)*_xlfn.XLOOKUP($D139,$D$131:$D$133,F$131:F$133,,0)</f>
        <v>1.8119253539958108E-2</v>
      </c>
      <c r="G139" s="6" cm="1">
        <f t="array" ref="G139">+$I$123*$G120*_xlfn.XLOOKUP($D139,_xlfn.ANCHORARRAY($I$118),$L$118:$L$120,,0)*_xlfn.XLOOKUP($D139,$D$131:$D$133,G$131:G$133,,0)</f>
        <v>2.070771833138059E-2</v>
      </c>
      <c r="H139" s="6" cm="1">
        <f t="array" ref="H139">+$I$123*$G120*_xlfn.XLOOKUP($D139,_xlfn.ANCHORARRAY($I$118),$L$118:$L$120,,0)*_xlfn.XLOOKUP($D139,$D$131:$D$133,H$131:H$133,,0)</f>
        <v>4.6592366245608759E-2</v>
      </c>
      <c r="I139" s="6" cm="1">
        <f t="array" ref="I139">+$I$123*$G120*_xlfn.XLOOKUP($D139,_xlfn.ANCHORARRAY($I$118),$L$118:$L$120,,0)*_xlfn.XLOOKUP($D139,$D$131:$D$133,I$131:I$133,,0)</f>
        <v>3.3650042288493193E-2</v>
      </c>
      <c r="J139" s="6" cm="1">
        <f t="array" ref="J139">+$I$123*$G120*_xlfn.XLOOKUP($D139,_xlfn.ANCHORARRAY($I$118),$L$118:$L$120,,0)*_xlfn.XLOOKUP($D139,$D$131:$D$133,J$131:J$133,,0)</f>
        <v>1.5530788748535168E-2</v>
      </c>
      <c r="K139" s="6" cm="1">
        <f t="array" ref="K139">+$I$123*$G120*_xlfn.XLOOKUP($D139,_xlfn.ANCHORARRAY($I$118),$L$118:$L$120,,0)*_xlfn.XLOOKUP($D139,$D$131:$D$133,K$131:K$133,,0)</f>
        <v>2.8473112705647688E-2</v>
      </c>
      <c r="L139" s="6" cm="1">
        <f t="array" ref="L139">+$I$123*$G120*_xlfn.XLOOKUP($D139,_xlfn.ANCHORARRAY($I$118),$L$118:$L$120,,0)*_xlfn.XLOOKUP($D139,$D$131:$D$133,L$131:L$133,,0)</f>
        <v>2.5884647914226282E-2</v>
      </c>
      <c r="M139" s="7" cm="1">
        <f t="array" ref="M139">+$I$123*$G120*_xlfn.XLOOKUP($D139,_xlfn.ANCHORARRAY($I$118),$L$118:$L$120,,0)*_xlfn.XLOOKUP($D139,$D$131:$D$133,M$131:M$133,,0)</f>
        <v>3.8826971871336956E-2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x14ac:dyDescent="0.3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</v>
      </c>
      <c r="F140" s="6" cm="1">
        <f t="array" ref="F140">+$I$123*$G121*_xlfn.XLOOKUP($D140,_xlfn.ANCHORARRAY($I$118),$L$118:$L$120,,0)*_xlfn.XLOOKUP($D140,$D$131:$D$133,F$131:F$133,,0)</f>
        <v>6.2123154994142227E-2</v>
      </c>
      <c r="G140" s="6" cm="1">
        <f t="array" ref="G140">+$I$123*$G121*_xlfn.XLOOKUP($D140,_xlfn.ANCHORARRAY($I$118),$L$118:$L$120,,0)*_xlfn.XLOOKUP($D140,$D$131:$D$133,G$131:G$133,,0)</f>
        <v>6.8335470493555678E-2</v>
      </c>
      <c r="H140" s="6" cm="1">
        <f t="array" ref="H140">+$I$123*$G121*_xlfn.XLOOKUP($D140,_xlfn.ANCHORARRAY($I$118),$L$118:$L$120,,0)*_xlfn.XLOOKUP($D140,$D$131:$D$133,H$131:H$133,,0)</f>
        <v>5.280468174502298E-2</v>
      </c>
      <c r="I140" s="6" cm="1">
        <f t="array" ref="I140">+$I$123*$G121*_xlfn.XLOOKUP($D140,_xlfn.ANCHORARRAY($I$118),$L$118:$L$120,,0)*_xlfn.XLOOKUP($D140,$D$131:$D$133,I$131:I$133,,0)</f>
        <v>6.2123154994141873E-2</v>
      </c>
      <c r="J140" s="6" cm="1">
        <f t="array" ref="J140">+$I$123*$G121*_xlfn.XLOOKUP($D140,_xlfn.ANCHORARRAY($I$118),$L$118:$L$120,,0)*_xlfn.XLOOKUP($D140,$D$131:$D$133,J$131:J$133,,0)</f>
        <v>5.2804681745019573E-2</v>
      </c>
      <c r="K140" s="6" cm="1">
        <f t="array" ref="K140">+$I$123*$G121*_xlfn.XLOOKUP($D140,_xlfn.ANCHORARRAY($I$118),$L$118:$L$120,,0)*_xlfn.XLOOKUP($D140,$D$131:$D$133,K$131:K$133,,0)</f>
        <v>6.2123154994140548E-2</v>
      </c>
      <c r="L140" s="6" cm="1">
        <f t="array" ref="L140">+$I$123*$G121*_xlfn.XLOOKUP($D140,_xlfn.ANCHORARRAY($I$118),$L$118:$L$120,,0)*_xlfn.XLOOKUP($D140,$D$131:$D$133,L$131:L$133,,0)</f>
        <v>7.7653943742678117E-2</v>
      </c>
      <c r="M140" s="7" cm="1">
        <f t="array" ref="M140">+$I$123*$G121*_xlfn.XLOOKUP($D140,_xlfn.ANCHORARRAY($I$118),$L$118:$L$120,,0)*_xlfn.XLOOKUP($D140,$D$131:$D$133,M$131:M$133,,0)</f>
        <v>5.9016997244432455E-2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x14ac:dyDescent="0.3">
      <c r="C141" s="20" t="s">
        <v>10</v>
      </c>
      <c r="D141" s="25" t="str">
        <f t="shared" ref="D141:D145" si="35">+D138</f>
        <v>Ind</v>
      </c>
      <c r="E141" s="5" cm="1">
        <f t="array" ref="E141">+$I$123*$G122*_xlfn.XLOOKUP($D141,_xlfn.ANCHORARRAY($I$118),$L$118:$L$120,,0)*_xlfn.XLOOKUP($D141,$D$131:$D$133,E$131:E$133,,0)</f>
        <v>0</v>
      </c>
      <c r="F141" s="6" cm="1">
        <f t="array" ref="F141">+$I$123*$G122*_xlfn.XLOOKUP($D141,_xlfn.ANCHORARRAY($I$118),$L$118:$L$120,,0)*_xlfn.XLOOKUP($D141,$D$131:$D$133,F$131:F$133,,0)</f>
        <v>3.4512863885634924E-2</v>
      </c>
      <c r="G141" s="6" cm="1">
        <f t="array" ref="G141">+$I$123*$G122*_xlfn.XLOOKUP($D141,_xlfn.ANCHORARRAY($I$118),$L$118:$L$120,,0)*_xlfn.XLOOKUP($D141,$D$131:$D$133,G$131:G$133,,0)</f>
        <v>3.1858028202124293E-2</v>
      </c>
      <c r="H141" s="6" cm="1">
        <f t="array" ref="H141">+$I$123*$G122*_xlfn.XLOOKUP($D141,_xlfn.ANCHORARRAY($I$118),$L$118:$L$120,,0)*_xlfn.XLOOKUP($D141,$D$131:$D$133,H$131:H$133,,0)</f>
        <v>5.0441877986699586E-2</v>
      </c>
      <c r="I141" s="6" cm="1">
        <f t="array" ref="I141">+$I$123*$G122*_xlfn.XLOOKUP($D141,_xlfn.ANCHORARRAY($I$118),$L$118:$L$120,,0)*_xlfn.XLOOKUP($D141,$D$131:$D$133,I$131:I$133,,0)</f>
        <v>2.3893521151593464E-2</v>
      </c>
      <c r="J141" s="6" cm="1">
        <f t="array" ref="J141">+$I$123*$G122*_xlfn.XLOOKUP($D141,_xlfn.ANCHORARRAY($I$118),$L$118:$L$120,,0)*_xlfn.XLOOKUP($D141,$D$131:$D$133,J$131:J$133,,0)</f>
        <v>3.7167699569144501E-2</v>
      </c>
      <c r="K141" s="6" cm="1">
        <f t="array" ref="K141">+$I$123*$G122*_xlfn.XLOOKUP($D141,_xlfn.ANCHORARRAY($I$118),$L$118:$L$120,,0)*_xlfn.XLOOKUP($D141,$D$131:$D$133,K$131:K$133,,0)</f>
        <v>4.7787042303186145E-2</v>
      </c>
      <c r="L141" s="6" cm="1">
        <f t="array" ref="L141">+$I$123*$G122*_xlfn.XLOOKUP($D141,_xlfn.ANCHORARRAY($I$118),$L$118:$L$120,,0)*_xlfn.XLOOKUP($D141,$D$131:$D$133,L$131:L$133,,0)</f>
        <v>4.2477370936166575E-2</v>
      </c>
      <c r="M141" s="7" cm="1">
        <f t="array" ref="M141">+$I$123*$G122*_xlfn.XLOOKUP($D141,_xlfn.ANCHORARRAY($I$118),$L$118:$L$120,,0)*_xlfn.XLOOKUP($D141,$D$131:$D$133,M$131:M$133,,0)</f>
        <v>4.2477370936164237E-2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x14ac:dyDescent="0.3">
      <c r="C142" s="20" t="s">
        <v>10</v>
      </c>
      <c r="D142" s="25" t="str">
        <f t="shared" si="35"/>
        <v>Serv</v>
      </c>
      <c r="E142" s="5" cm="1">
        <f t="array" ref="E142">+$I$123*$G123*_xlfn.XLOOKUP($D142,_xlfn.ANCHORARRAY($I$118),$L$118:$L$120,,0)*_xlfn.XLOOKUP($D142,$D$131:$D$133,E$131:E$133,,0)</f>
        <v>0</v>
      </c>
      <c r="F142" s="6" cm="1">
        <f t="array" ref="F142">+$I$123*$G123*_xlfn.XLOOKUP($D142,_xlfn.ANCHORARRAY($I$118),$L$118:$L$120,,0)*_xlfn.XLOOKUP($D142,$D$131:$D$133,F$131:F$133,,0)</f>
        <v>1.9217390118138295E-2</v>
      </c>
      <c r="G142" s="6" cm="1">
        <f t="array" ref="G142">+$I$123*$G123*_xlfn.XLOOKUP($D142,_xlfn.ANCHORARRAY($I$118),$L$118:$L$120,,0)*_xlfn.XLOOKUP($D142,$D$131:$D$133,G$131:G$133,,0)</f>
        <v>2.1962731563586513E-2</v>
      </c>
      <c r="H142" s="6" cm="1">
        <f t="array" ref="H142">+$I$123*$G123*_xlfn.XLOOKUP($D142,_xlfn.ANCHORARRAY($I$118),$L$118:$L$120,,0)*_xlfn.XLOOKUP($D142,$D$131:$D$133,H$131:H$133,,0)</f>
        <v>4.9416146018072232E-2</v>
      </c>
      <c r="I142" s="6" cm="1">
        <f t="array" ref="I142">+$I$123*$G123*_xlfn.XLOOKUP($D142,_xlfn.ANCHORARRAY($I$118),$L$118:$L$120,,0)*_xlfn.XLOOKUP($D142,$D$131:$D$133,I$131:I$133,,0)</f>
        <v>3.5689438790827796E-2</v>
      </c>
      <c r="J142" s="6" cm="1">
        <f t="array" ref="J142">+$I$123*$G123*_xlfn.XLOOKUP($D142,_xlfn.ANCHORARRAY($I$118),$L$118:$L$120,,0)*_xlfn.XLOOKUP($D142,$D$131:$D$133,J$131:J$133,,0)</f>
        <v>1.6472048672689595E-2</v>
      </c>
      <c r="K142" s="6" cm="1">
        <f t="array" ref="K142">+$I$123*$G123*_xlfn.XLOOKUP($D142,_xlfn.ANCHORARRAY($I$118),$L$118:$L$120,,0)*_xlfn.XLOOKUP($D142,$D$131:$D$133,K$131:K$133,,0)</f>
        <v>3.019875589993079E-2</v>
      </c>
      <c r="L142" s="6" cm="1">
        <f t="array" ref="L142">+$I$123*$G123*_xlfn.XLOOKUP($D142,_xlfn.ANCHORARRAY($I$118),$L$118:$L$120,,0)*_xlfn.XLOOKUP($D142,$D$131:$D$133,L$131:L$133,,0)</f>
        <v>2.7453414454483717E-2</v>
      </c>
      <c r="M142" s="7" cm="1">
        <f t="array" ref="M142">+$I$123*$G123*_xlfn.XLOOKUP($D142,_xlfn.ANCHORARRAY($I$118),$L$118:$L$120,,0)*_xlfn.XLOOKUP($D142,$D$131:$D$133,M$131:M$133,,0)</f>
        <v>4.1180121681722963E-2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x14ac:dyDescent="0.3">
      <c r="C143" s="20" t="s">
        <v>11</v>
      </c>
      <c r="D143" s="25" t="str">
        <f t="shared" si="35"/>
        <v>Agr</v>
      </c>
      <c r="E143" s="5" cm="1">
        <f t="array" ref="E143">+$I$123*$G124*_xlfn.XLOOKUP($D143,_xlfn.ANCHORARRAY($I$118),$L$118:$L$120,,0)*_xlfn.XLOOKUP($D143,$D$131:$D$133,E$131:E$133,,0)</f>
        <v>0</v>
      </c>
      <c r="F143" s="6" cm="1">
        <f t="array" ref="F143">+$I$123*$G124*_xlfn.XLOOKUP($D143,_xlfn.ANCHORARRAY($I$118),$L$118:$L$120,,0)*_xlfn.XLOOKUP($D143,$D$131:$D$133,F$131:F$133,,0)</f>
        <v>5.5220582217015805E-2</v>
      </c>
      <c r="G143" s="6" cm="1">
        <f t="array" ref="G143">+$I$123*$G124*_xlfn.XLOOKUP($D143,_xlfn.ANCHORARRAY($I$118),$L$118:$L$120,,0)*_xlfn.XLOOKUP($D143,$D$131:$D$133,G$131:G$133,,0)</f>
        <v>6.0742640438716709E-2</v>
      </c>
      <c r="H143" s="6" cm="1">
        <f t="array" ref="H143">+$I$123*$G124*_xlfn.XLOOKUP($D143,_xlfn.ANCHORARRAY($I$118),$L$118:$L$120,,0)*_xlfn.XLOOKUP($D143,$D$131:$D$133,H$131:H$133,,0)</f>
        <v>4.6937494884465296E-2</v>
      </c>
      <c r="I143" s="6" cm="1">
        <f t="array" ref="I143">+$I$123*$G124*_xlfn.XLOOKUP($D143,_xlfn.ANCHORARRAY($I$118),$L$118:$L$120,,0)*_xlfn.XLOOKUP($D143,$D$131:$D$133,I$131:I$133,,0)</f>
        <v>5.5220582217015493E-2</v>
      </c>
      <c r="J143" s="6" cm="1">
        <f t="array" ref="J143">+$I$123*$G124*_xlfn.XLOOKUP($D143,_xlfn.ANCHORARRAY($I$118),$L$118:$L$120,,0)*_xlfn.XLOOKUP($D143,$D$131:$D$133,J$131:J$133,,0)</f>
        <v>4.6937494884462264E-2</v>
      </c>
      <c r="K143" s="6" cm="1">
        <f t="array" ref="K143">+$I$123*$G124*_xlfn.XLOOKUP($D143,_xlfn.ANCHORARRAY($I$118),$L$118:$L$120,,0)*_xlfn.XLOOKUP($D143,$D$131:$D$133,K$131:K$133,,0)</f>
        <v>5.5220582217014313E-2</v>
      </c>
      <c r="L143" s="6" cm="1">
        <f t="array" ref="L143">+$I$123*$G124*_xlfn.XLOOKUP($D143,_xlfn.ANCHORARRAY($I$118),$L$118:$L$120,,0)*_xlfn.XLOOKUP($D143,$D$131:$D$133,L$131:L$133,,0)</f>
        <v>6.9025727771270057E-2</v>
      </c>
      <c r="M143" s="7" cm="1">
        <f t="array" ref="M143">+$I$123*$G124*_xlfn.XLOOKUP($D143,_xlfn.ANCHORARRAY($I$118),$L$118:$L$120,,0)*_xlfn.XLOOKUP($D143,$D$131:$D$133,M$131:M$133,,0)</f>
        <v>5.2459553106162654E-2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x14ac:dyDescent="0.3">
      <c r="C144" s="20" t="s">
        <v>11</v>
      </c>
      <c r="D144" s="25" t="str">
        <f t="shared" si="35"/>
        <v>Ind</v>
      </c>
      <c r="E144" s="5" cm="1">
        <f t="array" ref="E144">+$I$123*$G125*_xlfn.XLOOKUP($D144,_xlfn.ANCHORARRAY($I$118),$L$118:$L$120,,0)*_xlfn.XLOOKUP($D144,$D$131:$D$133,E$131:E$133,,0)</f>
        <v>0</v>
      </c>
      <c r="F144" s="6" cm="1">
        <f t="array" ref="F144">+$I$123*$G125*_xlfn.XLOOKUP($D144,_xlfn.ANCHORARRAY($I$118),$L$118:$L$120,,0)*_xlfn.XLOOKUP($D144,$D$131:$D$133,F$131:F$133,,0)</f>
        <v>2.8377243639301164E-2</v>
      </c>
      <c r="G144" s="6" cm="1">
        <f t="array" ref="G144">+$I$123*$G125*_xlfn.XLOOKUP($D144,_xlfn.ANCHORARRAY($I$118),$L$118:$L$120,,0)*_xlfn.XLOOKUP($D144,$D$131:$D$133,G$131:G$133,,0)</f>
        <v>2.6194378743970095E-2</v>
      </c>
      <c r="H144" s="6" cm="1">
        <f t="array" ref="H144">+$I$123*$G125*_xlfn.XLOOKUP($D144,_xlfn.ANCHORARRAY($I$118),$L$118:$L$120,,0)*_xlfn.XLOOKUP($D144,$D$131:$D$133,H$131:H$133,,0)</f>
        <v>4.1474433011288281E-2</v>
      </c>
      <c r="I144" s="6" cm="1">
        <f t="array" ref="I144">+$I$123*$G125*_xlfn.XLOOKUP($D144,_xlfn.ANCHORARRAY($I$118),$L$118:$L$120,,0)*_xlfn.XLOOKUP($D144,$D$131:$D$133,I$131:I$133,,0)</f>
        <v>1.9645784057977775E-2</v>
      </c>
      <c r="J144" s="6" cm="1">
        <f t="array" ref="J144">+$I$123*$G125*_xlfn.XLOOKUP($D144,_xlfn.ANCHORARRAY($I$118),$L$118:$L$120,,0)*_xlfn.XLOOKUP($D144,$D$131:$D$133,J$131:J$133,,0)</f>
        <v>3.0560108534631359E-2</v>
      </c>
      <c r="K144" s="6" cm="1">
        <f t="array" ref="K144">+$I$123*$G125*_xlfn.XLOOKUP($D144,_xlfn.ANCHORARRAY($I$118),$L$118:$L$120,,0)*_xlfn.XLOOKUP($D144,$D$131:$D$133,K$131:K$133,,0)</f>
        <v>3.9291568115954897E-2</v>
      </c>
      <c r="L144" s="6" cm="1">
        <f t="array" ref="L144">+$I$123*$G125*_xlfn.XLOOKUP($D144,_xlfn.ANCHORARRAY($I$118),$L$118:$L$120,,0)*_xlfn.XLOOKUP($D144,$D$131:$D$133,L$131:L$133,,0)</f>
        <v>3.492583832529416E-2</v>
      </c>
      <c r="M144" s="7" cm="1">
        <f t="array" ref="M144">+$I$123*$G125*_xlfn.XLOOKUP($D144,_xlfn.ANCHORARRAY($I$118),$L$118:$L$120,,0)*_xlfn.XLOOKUP($D144,$D$131:$D$133,M$131:M$133,,0)</f>
        <v>3.4925838325292238E-2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3:24" x14ac:dyDescent="0.3">
      <c r="C145" s="20" t="s">
        <v>11</v>
      </c>
      <c r="D145" s="25" t="str">
        <f t="shared" si="35"/>
        <v>Serv</v>
      </c>
      <c r="E145" s="9" cm="1">
        <f t="array" ref="E145">+$I$123*$G126*_xlfn.XLOOKUP($D145,_xlfn.ANCHORARRAY($I$118),$L$118:$L$120,,0)*_xlfn.XLOOKUP($D145,$D$131:$D$133,E$131:E$133,,0)</f>
        <v>0</v>
      </c>
      <c r="F145" s="10" cm="1">
        <f t="array" ref="F145">+$I$123*$G126*_xlfn.XLOOKUP($D145,_xlfn.ANCHORARRAY($I$118),$L$118:$L$120,,0)*_xlfn.XLOOKUP($D145,$D$131:$D$133,F$131:F$133,,0)</f>
        <v>1.9766458407226975E-2</v>
      </c>
      <c r="G145" s="10" cm="1">
        <f t="array" ref="G145">+$I$123*$G126*_xlfn.XLOOKUP($D145,_xlfn.ANCHORARRAY($I$118),$L$118:$L$120,,0)*_xlfn.XLOOKUP($D145,$D$131:$D$133,G$131:G$133,,0)</f>
        <v>2.2590238179687857E-2</v>
      </c>
      <c r="H145" s="10" cm="1">
        <f t="array" ref="H145">+$I$123*$G126*_xlfn.XLOOKUP($D145,_xlfn.ANCHORARRAY($I$118),$L$118:$L$120,,0)*_xlfn.XLOOKUP($D145,$D$131:$D$133,H$131:H$133,,0)</f>
        <v>5.082803590430033E-2</v>
      </c>
      <c r="I145" s="10" cm="1">
        <f t="array" ref="I145">+$I$123*$G126*_xlfn.XLOOKUP($D145,_xlfn.ANCHORARRAY($I$118),$L$118:$L$120,,0)*_xlfn.XLOOKUP($D145,$D$131:$D$133,I$131:I$133,,0)</f>
        <v>3.6709137041992475E-2</v>
      </c>
      <c r="J145" s="10" cm="1">
        <f t="array" ref="J145">+$I$123*$G126*_xlfn.XLOOKUP($D145,_xlfn.ANCHORARRAY($I$118),$L$118:$L$120,,0)*_xlfn.XLOOKUP($D145,$D$131:$D$133,J$131:J$133,,0)</f>
        <v>1.6942678634765593E-2</v>
      </c>
      <c r="K145" s="10" cm="1">
        <f t="array" ref="K145">+$I$123*$G126*_xlfn.XLOOKUP($D145,_xlfn.ANCHORARRAY($I$118),$L$118:$L$120,,0)*_xlfn.XLOOKUP($D145,$D$131:$D$133,K$131:K$133,,0)</f>
        <v>3.1061577497070121E-2</v>
      </c>
      <c r="L145" s="10" cm="1">
        <f t="array" ref="L145">+$I$123*$G126*_xlfn.XLOOKUP($D145,_xlfn.ANCHORARRAY($I$118),$L$118:$L$120,,0)*_xlfn.XLOOKUP($D145,$D$131:$D$133,L$131:L$133,,0)</f>
        <v>2.8237797724610415E-2</v>
      </c>
      <c r="M145" s="11" cm="1">
        <f t="array" ref="M145">+$I$123*$G126*_xlfn.XLOOKUP($D145,_xlfn.ANCHORARRAY($I$118),$L$118:$L$120,,0)*_xlfn.XLOOKUP($D145,$D$131:$D$133,M$131:M$133,,0)</f>
        <v>4.2356696586912934E-2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3:24" x14ac:dyDescent="0.3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4" x14ac:dyDescent="0.3">
      <c r="O147" s="19"/>
    </row>
    <row r="148" spans="3:24" ht="15" thickBot="1" x14ac:dyDescent="0.35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4" ht="15" thickBot="1" x14ac:dyDescent="0.35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4" x14ac:dyDescent="0.3">
      <c r="C150" s="20" t="s">
        <v>1</v>
      </c>
      <c r="D150" s="28" t="s">
        <v>51</v>
      </c>
      <c r="E150" s="1">
        <f t="shared" ref="E150:M158" si="36">+E78+E137</f>
        <v>7.5972028590221781</v>
      </c>
      <c r="F150" s="2">
        <f t="shared" si="36"/>
        <v>4.0084432337499507</v>
      </c>
      <c r="G150" s="2">
        <f t="shared" si="36"/>
        <v>7.6321298772744397</v>
      </c>
      <c r="H150" s="2">
        <f t="shared" si="36"/>
        <v>1.0795684063572686</v>
      </c>
      <c r="I150" s="2">
        <f t="shared" si="36"/>
        <v>0.42750732247273532</v>
      </c>
      <c r="J150" s="2">
        <f t="shared" si="36"/>
        <v>6.0928786821453702</v>
      </c>
      <c r="K150" s="2">
        <f t="shared" si="36"/>
        <v>2.5760688692390654</v>
      </c>
      <c r="L150" s="2">
        <f t="shared" si="36"/>
        <v>5.5476944288790211</v>
      </c>
      <c r="M150" s="3">
        <f t="shared" si="36"/>
        <v>1.8385063208599846</v>
      </c>
      <c r="N150" s="19"/>
      <c r="O150" s="19"/>
    </row>
    <row r="151" spans="3:24" x14ac:dyDescent="0.3">
      <c r="C151" s="20" t="s">
        <v>1</v>
      </c>
      <c r="D151" s="25" t="s">
        <v>52</v>
      </c>
      <c r="E151" s="5">
        <f t="shared" si="36"/>
        <v>7.1205680807873284</v>
      </c>
      <c r="F151" s="6">
        <f t="shared" si="36"/>
        <v>3.7660556065925661</v>
      </c>
      <c r="G151" s="6">
        <f t="shared" si="36"/>
        <v>7.8220921047485668</v>
      </c>
      <c r="H151" s="6">
        <f t="shared" si="36"/>
        <v>4.9176745743944075</v>
      </c>
      <c r="I151" s="6">
        <f t="shared" si="36"/>
        <v>1.9844132641591277</v>
      </c>
      <c r="J151" s="6">
        <f t="shared" si="36"/>
        <v>8.7171261417432593</v>
      </c>
      <c r="K151" s="6">
        <f t="shared" si="36"/>
        <v>2.3258088749087067</v>
      </c>
      <c r="L151" s="6">
        <f t="shared" si="36"/>
        <v>4.9021762389639214</v>
      </c>
      <c r="M151" s="7">
        <f t="shared" si="36"/>
        <v>6.4440851137021156</v>
      </c>
      <c r="N151" s="19"/>
      <c r="O151" s="19"/>
    </row>
    <row r="152" spans="3:24" x14ac:dyDescent="0.3">
      <c r="C152" s="20" t="s">
        <v>1</v>
      </c>
      <c r="D152" s="25" t="s">
        <v>53</v>
      </c>
      <c r="E152" s="5">
        <f t="shared" si="36"/>
        <v>1.3880132601006163</v>
      </c>
      <c r="F152" s="6">
        <f t="shared" si="36"/>
        <v>0.63459850088963987</v>
      </c>
      <c r="G152" s="6">
        <f t="shared" si="36"/>
        <v>0.72525542958816036</v>
      </c>
      <c r="H152" s="6">
        <f t="shared" si="36"/>
        <v>6.6451349923614629</v>
      </c>
      <c r="I152" s="6">
        <f t="shared" si="36"/>
        <v>4.0432888021025324</v>
      </c>
      <c r="J152" s="6">
        <f t="shared" si="36"/>
        <v>3.4086903012128911</v>
      </c>
      <c r="K152" s="6">
        <f t="shared" si="36"/>
        <v>6.0105364914718207</v>
      </c>
      <c r="L152" s="6">
        <f t="shared" si="36"/>
        <v>3.7713180160069726</v>
      </c>
      <c r="M152" s="7">
        <f t="shared" si="36"/>
        <v>6.3731642062659013</v>
      </c>
      <c r="N152" s="19"/>
      <c r="O152" s="19"/>
    </row>
    <row r="153" spans="3:24" x14ac:dyDescent="0.3">
      <c r="C153" s="20" t="s">
        <v>10</v>
      </c>
      <c r="D153" s="25" t="str">
        <f>+D150</f>
        <v>Agr</v>
      </c>
      <c r="E153" s="5">
        <f t="shared" si="36"/>
        <v>8.8557166624331032</v>
      </c>
      <c r="F153" s="6">
        <f t="shared" si="36"/>
        <v>5.8339972682114638</v>
      </c>
      <c r="G153" s="6">
        <f t="shared" si="36"/>
        <v>5.3431162216494466</v>
      </c>
      <c r="H153" s="6">
        <f t="shared" si="36"/>
        <v>6.9284124291822122</v>
      </c>
      <c r="I153" s="6">
        <f t="shared" si="36"/>
        <v>9.4149331794886777</v>
      </c>
      <c r="J153" s="6">
        <f t="shared" si="36"/>
        <v>8.360786793693098</v>
      </c>
      <c r="K153" s="6">
        <f t="shared" si="36"/>
        <v>9.4149331794886777</v>
      </c>
      <c r="L153" s="6">
        <f t="shared" si="36"/>
        <v>9.2620113364667969</v>
      </c>
      <c r="M153" s="7">
        <f t="shared" si="36"/>
        <v>8.5860929293865222</v>
      </c>
      <c r="N153" s="19"/>
      <c r="O153" s="19"/>
    </row>
    <row r="154" spans="3:24" x14ac:dyDescent="0.3">
      <c r="C154" s="20" t="s">
        <v>10</v>
      </c>
      <c r="D154" s="25" t="str">
        <f t="shared" ref="D154:D158" si="37">+D151</f>
        <v>Ind</v>
      </c>
      <c r="E154" s="5">
        <f t="shared" si="36"/>
        <v>4.031959300059941</v>
      </c>
      <c r="F154" s="6">
        <f t="shared" si="36"/>
        <v>2.2641843566773416</v>
      </c>
      <c r="G154" s="6">
        <f t="shared" si="36"/>
        <v>3.1229786113398195</v>
      </c>
      <c r="H154" s="6">
        <f t="shared" si="36"/>
        <v>6.0637586068955107</v>
      </c>
      <c r="I154" s="6">
        <f t="shared" si="36"/>
        <v>6.5945953531465547</v>
      </c>
      <c r="J154" s="6">
        <f t="shared" si="36"/>
        <v>4.0910920354727747</v>
      </c>
      <c r="K154" s="6">
        <f t="shared" si="36"/>
        <v>8.713020817196595</v>
      </c>
      <c r="L154" s="6">
        <f t="shared" si="36"/>
        <v>2.3735035261478199</v>
      </c>
      <c r="M154" s="7">
        <f t="shared" si="36"/>
        <v>7.744907393063639</v>
      </c>
      <c r="N154" s="19"/>
      <c r="O154" s="19"/>
    </row>
    <row r="155" spans="3:24" x14ac:dyDescent="0.3">
      <c r="C155" s="20" t="s">
        <v>10</v>
      </c>
      <c r="D155" s="25" t="str">
        <f t="shared" si="37"/>
        <v>Serv</v>
      </c>
      <c r="E155" s="5">
        <f t="shared" si="36"/>
        <v>5.7692583693969501</v>
      </c>
      <c r="F155" s="6">
        <f t="shared" si="36"/>
        <v>4.2539949273722888</v>
      </c>
      <c r="G155" s="6">
        <f t="shared" si="36"/>
        <v>3.6339590331304281</v>
      </c>
      <c r="H155" s="6">
        <f t="shared" si="36"/>
        <v>2.4469103664999192</v>
      </c>
      <c r="I155" s="6">
        <f t="shared" si="36"/>
        <v>7.6956513844755525</v>
      </c>
      <c r="J155" s="6">
        <f t="shared" si="36"/>
        <v>2.0092820925923776</v>
      </c>
      <c r="K155" s="6">
        <f t="shared" si="36"/>
        <v>1.7738513504048443</v>
      </c>
      <c r="L155" s="6">
        <f t="shared" si="36"/>
        <v>5.2586359736684791</v>
      </c>
      <c r="M155" s="7">
        <f t="shared" si="36"/>
        <v>2.1584565024591726</v>
      </c>
      <c r="N155" s="19"/>
    </row>
    <row r="156" spans="3:24" x14ac:dyDescent="0.3">
      <c r="C156" s="20" t="s">
        <v>11</v>
      </c>
      <c r="D156" s="25" t="str">
        <f t="shared" si="37"/>
        <v>Agr</v>
      </c>
      <c r="E156" s="5">
        <f t="shared" si="36"/>
        <v>4.2908122331077641</v>
      </c>
      <c r="F156" s="6">
        <f t="shared" si="36"/>
        <v>9.1645930287182065</v>
      </c>
      <c r="G156" s="6">
        <f t="shared" si="36"/>
        <v>7.932490784823699</v>
      </c>
      <c r="H156" s="6">
        <f t="shared" si="36"/>
        <v>8.1479976655381972</v>
      </c>
      <c r="I156" s="6">
        <f t="shared" si="36"/>
        <v>9.1645930287182047</v>
      </c>
      <c r="J156" s="6">
        <f t="shared" si="36"/>
        <v>1.7023130252392089</v>
      </c>
      <c r="K156" s="6">
        <f t="shared" si="36"/>
        <v>7.0160314819518774</v>
      </c>
      <c r="L156" s="6">
        <f t="shared" si="36"/>
        <v>8.9490861480037065</v>
      </c>
      <c r="M156" s="7">
        <f t="shared" si="36"/>
        <v>7.6320826038991321</v>
      </c>
      <c r="N156" s="19"/>
    </row>
    <row r="157" spans="3:24" x14ac:dyDescent="0.3">
      <c r="C157" s="20" t="s">
        <v>11</v>
      </c>
      <c r="D157" s="25" t="str">
        <f t="shared" si="37"/>
        <v>Ind</v>
      </c>
      <c r="E157" s="5">
        <f t="shared" si="36"/>
        <v>1.7884707872871108</v>
      </c>
      <c r="F157" s="6">
        <f t="shared" si="36"/>
        <v>6.976315795826272</v>
      </c>
      <c r="G157" s="6">
        <f t="shared" si="36"/>
        <v>1.060980753846553</v>
      </c>
      <c r="H157" s="6">
        <f t="shared" si="36"/>
        <v>8.0281483127737321</v>
      </c>
      <c r="I157" s="6">
        <f t="shared" si="36"/>
        <v>0.42552998514552104</v>
      </c>
      <c r="J157" s="6">
        <f t="shared" si="36"/>
        <v>1.1988418710413913</v>
      </c>
      <c r="K157" s="6">
        <f t="shared" si="36"/>
        <v>6.9702475127971057</v>
      </c>
      <c r="L157" s="6">
        <f t="shared" si="36"/>
        <v>8.7323888614681717</v>
      </c>
      <c r="M157" s="7">
        <f t="shared" si="36"/>
        <v>1.8190761198141645</v>
      </c>
      <c r="N157" s="19"/>
    </row>
    <row r="158" spans="3:24" x14ac:dyDescent="0.3">
      <c r="C158" s="20" t="s">
        <v>11</v>
      </c>
      <c r="D158" s="25" t="str">
        <f t="shared" si="37"/>
        <v>Serv</v>
      </c>
      <c r="E158" s="9">
        <f t="shared" si="36"/>
        <v>8.6760681063005585</v>
      </c>
      <c r="F158" s="10">
        <f t="shared" si="36"/>
        <v>2.1246636382086743</v>
      </c>
      <c r="G158" s="10">
        <f t="shared" si="36"/>
        <v>3.6559364703906736</v>
      </c>
      <c r="H158" s="10">
        <f t="shared" si="36"/>
        <v>8.9420442406344609</v>
      </c>
      <c r="I158" s="10">
        <f t="shared" si="36"/>
        <v>1.2856800797244639</v>
      </c>
      <c r="J158" s="10">
        <f t="shared" si="36"/>
        <v>0.59339080602667604</v>
      </c>
      <c r="K158" s="10">
        <f t="shared" si="36"/>
        <v>3.2364446911485678</v>
      </c>
      <c r="L158" s="10">
        <f t="shared" si="36"/>
        <v>0.98898467671112678</v>
      </c>
      <c r="M158" s="11">
        <f t="shared" si="36"/>
        <v>6.4967872908547921</v>
      </c>
      <c r="N158" s="19"/>
    </row>
    <row r="159" spans="3:24" x14ac:dyDescent="0.3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406.80000000000007</v>
      </c>
    </row>
    <row r="161" spans="1:13" x14ac:dyDescent="0.3">
      <c r="A161" s="66"/>
    </row>
    <row r="162" spans="1:13" ht="15" thickBot="1" x14ac:dyDescent="0.35">
      <c r="A162" s="68" t="s">
        <v>41</v>
      </c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ht="15" thickBot="1" x14ac:dyDescent="0.35">
      <c r="D163" s="23"/>
      <c r="E163" s="27"/>
      <c r="F163" s="26"/>
      <c r="G163" s="26"/>
      <c r="H163" s="26"/>
      <c r="I163" s="26"/>
      <c r="J163" s="26"/>
      <c r="K163" s="26"/>
      <c r="L163" s="26"/>
      <c r="M163" s="26"/>
    </row>
    <row r="164" spans="1:13" x14ac:dyDescent="0.3">
      <c r="D164" s="28"/>
      <c r="E164" s="1"/>
      <c r="F164" s="2"/>
      <c r="G164" s="2"/>
      <c r="H164" s="2"/>
      <c r="I164" s="2"/>
      <c r="J164" s="2"/>
      <c r="K164" s="2"/>
      <c r="L164" s="2"/>
      <c r="M164" s="3"/>
    </row>
    <row r="165" spans="1:13" x14ac:dyDescent="0.3">
      <c r="D165" s="25"/>
      <c r="E165" s="5"/>
      <c r="F165" s="6"/>
      <c r="G165" s="6"/>
      <c r="H165" s="6"/>
      <c r="I165" s="6"/>
      <c r="J165" s="6"/>
      <c r="K165" s="6"/>
      <c r="L165" s="6"/>
      <c r="M165" s="7"/>
    </row>
    <row r="166" spans="1:13" x14ac:dyDescent="0.3">
      <c r="D166" s="25"/>
      <c r="E166" s="9"/>
      <c r="F166" s="10"/>
      <c r="G166" s="10"/>
      <c r="H166" s="10"/>
      <c r="I166" s="10"/>
      <c r="J166" s="10"/>
      <c r="K166" s="10"/>
      <c r="L166" s="10"/>
      <c r="M166" s="11"/>
    </row>
    <row r="167" spans="1:13" x14ac:dyDescent="0.3">
      <c r="D167" s="25"/>
      <c r="E167" s="70"/>
      <c r="F167" s="71"/>
      <c r="G167" s="71"/>
      <c r="H167" s="71"/>
      <c r="I167" s="71"/>
      <c r="J167" s="71"/>
      <c r="K167" s="71"/>
      <c r="L167" s="71"/>
      <c r="M167" s="72"/>
    </row>
    <row r="169" spans="1:13" ht="15" thickBot="1" x14ac:dyDescent="0.35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</row>
    <row r="170" spans="1:13" ht="15" thickBot="1" x14ac:dyDescent="0.35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</row>
    <row r="171" spans="1:13" x14ac:dyDescent="0.3">
      <c r="D171" s="28" t="str" cm="1">
        <f t="array" ref="D171:D173">+_xlfn.UNIQUE($D$150:$D$158)</f>
        <v>Agr</v>
      </c>
      <c r="E171" s="1">
        <f>+IO_sub_model!E171</f>
        <v>0.30985915492957744</v>
      </c>
      <c r="F171" s="2">
        <f>+IO_sub_model!F171</f>
        <v>0.36363636363636365</v>
      </c>
      <c r="G171" s="2">
        <f>+IO_sub_model!G171</f>
        <v>0.46808510638297873</v>
      </c>
      <c r="H171" s="2">
        <f>+IO_sub_model!H171</f>
        <v>0.2073170731707317</v>
      </c>
      <c r="I171" s="2">
        <f>+IO_sub_model!I171</f>
        <v>0.4</v>
      </c>
      <c r="J171" s="2">
        <f>+IO_sub_model!J171</f>
        <v>0.30909090909090908</v>
      </c>
      <c r="K171" s="2">
        <f>+IO_sub_model!K171</f>
        <v>0.25316455696202533</v>
      </c>
      <c r="L171" s="2">
        <f>+IO_sub_model!L171</f>
        <v>0.38461538461538464</v>
      </c>
      <c r="M171" s="3">
        <f>+IO_sub_model!M171</f>
        <v>0.31666666666666665</v>
      </c>
    </row>
    <row r="172" spans="1:13" x14ac:dyDescent="0.3">
      <c r="D172" s="25" t="str">
        <v>Ind</v>
      </c>
      <c r="E172" s="5">
        <f>+IO_sub_model!E172</f>
        <v>0.18309859154929578</v>
      </c>
      <c r="F172" s="6">
        <f>+IO_sub_model!F172</f>
        <v>0.23636363636363636</v>
      </c>
      <c r="G172" s="6">
        <f>+IO_sub_model!G172</f>
        <v>0.25531914893617019</v>
      </c>
      <c r="H172" s="6">
        <f>+IO_sub_model!H172</f>
        <v>0.23170731707317074</v>
      </c>
      <c r="I172" s="6">
        <f>+IO_sub_model!I172</f>
        <v>0.18</v>
      </c>
      <c r="J172" s="6">
        <f>+IO_sub_model!J172</f>
        <v>0.25454545454545452</v>
      </c>
      <c r="K172" s="6">
        <f>+IO_sub_model!K172</f>
        <v>0.22784810126582278</v>
      </c>
      <c r="L172" s="6">
        <f>+IO_sub_model!L172</f>
        <v>0.24615384615384617</v>
      </c>
      <c r="M172" s="7">
        <f>+IO_sub_model!M172</f>
        <v>0.26666666666666666</v>
      </c>
    </row>
    <row r="173" spans="1:13" x14ac:dyDescent="0.3">
      <c r="D173" s="25" t="str">
        <v>Serv</v>
      </c>
      <c r="E173" s="9">
        <f>+IO_sub_model!E173</f>
        <v>0.22535211267605634</v>
      </c>
      <c r="F173" s="10">
        <f>+IO_sub_model!F173</f>
        <v>0.12727272727272726</v>
      </c>
      <c r="G173" s="10">
        <f>+IO_sub_model!G173</f>
        <v>0.1702127659574468</v>
      </c>
      <c r="H173" s="10">
        <f>+IO_sub_model!H173</f>
        <v>0.21951219512195122</v>
      </c>
      <c r="I173" s="10">
        <f>+IO_sub_model!I173</f>
        <v>0.26</v>
      </c>
      <c r="J173" s="10">
        <f>+IO_sub_model!J173</f>
        <v>0.10909090909090909</v>
      </c>
      <c r="K173" s="10">
        <f>+IO_sub_model!K173</f>
        <v>0.13924050632911392</v>
      </c>
      <c r="L173" s="10">
        <f>+IO_sub_model!L173</f>
        <v>0.15384615384615385</v>
      </c>
      <c r="M173" s="11">
        <f>+IO_sub_model!M173</f>
        <v>0.25</v>
      </c>
    </row>
    <row r="175" spans="1:13" ht="15" thickBot="1" x14ac:dyDescent="0.35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</row>
    <row r="176" spans="1:13" ht="15" thickBot="1" x14ac:dyDescent="0.35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</row>
    <row r="177" spans="2:14" x14ac:dyDescent="0.3">
      <c r="D177" s="28" t="str" cm="1">
        <f t="array" ref="D177:D179">+_xlfn.UNIQUE($D$150:$D$158)</f>
        <v>Agr</v>
      </c>
      <c r="E177" s="1">
        <f>+SUMIF($D$150:$D$158,$D177,E$150:E$158)</f>
        <v>20.743731754563047</v>
      </c>
      <c r="F177" s="2">
        <f t="shared" ref="F177:M179" si="38">+SUMIF($D$150:$D$158,$D177,F$150:F$158)</f>
        <v>19.007033530679621</v>
      </c>
      <c r="G177" s="2">
        <f t="shared" si="38"/>
        <v>20.907736883747585</v>
      </c>
      <c r="H177" s="2">
        <f t="shared" si="38"/>
        <v>16.155978501077676</v>
      </c>
      <c r="I177" s="2">
        <f t="shared" si="38"/>
        <v>19.007033530679617</v>
      </c>
      <c r="J177" s="2">
        <f t="shared" si="38"/>
        <v>16.155978501077676</v>
      </c>
      <c r="K177" s="2">
        <f t="shared" si="38"/>
        <v>19.007033530679621</v>
      </c>
      <c r="L177" s="2">
        <f t="shared" si="38"/>
        <v>23.758791913349526</v>
      </c>
      <c r="M177" s="3">
        <f t="shared" si="38"/>
        <v>18.056681854145637</v>
      </c>
    </row>
    <row r="178" spans="2:14" x14ac:dyDescent="0.3">
      <c r="D178" s="25" t="str">
        <v>Ind</v>
      </c>
      <c r="E178" s="5">
        <f t="shared" ref="E178:E179" si="39">+SUMIF($D$150:$D$158,$D178,E$150:E$158)</f>
        <v>12.94099816813438</v>
      </c>
      <c r="F178" s="6">
        <f t="shared" si="38"/>
        <v>13.00655575909618</v>
      </c>
      <c r="G178" s="6">
        <f t="shared" si="38"/>
        <v>12.006051469934938</v>
      </c>
      <c r="H178" s="6">
        <f t="shared" si="38"/>
        <v>19.009581494063653</v>
      </c>
      <c r="I178" s="6">
        <f t="shared" si="38"/>
        <v>9.0045386024512037</v>
      </c>
      <c r="J178" s="6">
        <f t="shared" si="38"/>
        <v>14.007060048257426</v>
      </c>
      <c r="K178" s="6">
        <f t="shared" si="38"/>
        <v>18.009077204902407</v>
      </c>
      <c r="L178" s="6">
        <f t="shared" si="38"/>
        <v>16.008068626579913</v>
      </c>
      <c r="M178" s="7">
        <f t="shared" si="38"/>
        <v>16.008068626579917</v>
      </c>
    </row>
    <row r="179" spans="2:14" x14ac:dyDescent="0.3">
      <c r="D179" s="25" t="str">
        <v>Serv</v>
      </c>
      <c r="E179" s="9">
        <f t="shared" si="39"/>
        <v>15.833339735798125</v>
      </c>
      <c r="F179" s="10">
        <f t="shared" si="38"/>
        <v>7.0132570664706027</v>
      </c>
      <c r="G179" s="10">
        <f t="shared" si="38"/>
        <v>8.0151509331092612</v>
      </c>
      <c r="H179" s="10">
        <f t="shared" si="38"/>
        <v>18.034089599495843</v>
      </c>
      <c r="I179" s="10">
        <f t="shared" si="38"/>
        <v>13.024620266302549</v>
      </c>
      <c r="J179" s="10">
        <f t="shared" si="38"/>
        <v>6.0113631998319441</v>
      </c>
      <c r="K179" s="10">
        <f t="shared" si="38"/>
        <v>11.020832533025233</v>
      </c>
      <c r="L179" s="10">
        <f t="shared" si="38"/>
        <v>10.018938666386578</v>
      </c>
      <c r="M179" s="11">
        <f t="shared" si="38"/>
        <v>15.028407999579866</v>
      </c>
    </row>
    <row r="181" spans="2:14" x14ac:dyDescent="0.3">
      <c r="E181" s="1">
        <f>+E177/E171</f>
        <v>66.945679753362569</v>
      </c>
      <c r="F181" s="2">
        <f t="shared" ref="F181:M181" si="40">+F177/F171</f>
        <v>52.269342209368958</v>
      </c>
      <c r="G181" s="2">
        <f t="shared" si="40"/>
        <v>44.666528797097115</v>
      </c>
      <c r="H181" s="2">
        <f t="shared" si="40"/>
        <v>77.928837475786437</v>
      </c>
      <c r="I181" s="2">
        <f t="shared" si="40"/>
        <v>47.517583826699038</v>
      </c>
      <c r="J181" s="2">
        <f t="shared" si="40"/>
        <v>52.269342209368958</v>
      </c>
      <c r="K181" s="2">
        <f t="shared" si="40"/>
        <v>75.0777824461845</v>
      </c>
      <c r="L181" s="2">
        <f t="shared" si="40"/>
        <v>61.772858974708768</v>
      </c>
      <c r="M181" s="3">
        <f t="shared" si="40"/>
        <v>57.021100592038856</v>
      </c>
    </row>
    <row r="182" spans="2:14" x14ac:dyDescent="0.3">
      <c r="E182" s="5">
        <f t="shared" ref="E182:M183" si="41">+E178/E172</f>
        <v>70.677759225964692</v>
      </c>
      <c r="F182" s="6">
        <f t="shared" si="41"/>
        <v>55.027735903868454</v>
      </c>
      <c r="G182" s="6">
        <f t="shared" si="41"/>
        <v>47.023701590578511</v>
      </c>
      <c r="H182" s="6">
        <f t="shared" si="41"/>
        <v>82.041351711222077</v>
      </c>
      <c r="I182" s="6">
        <f t="shared" si="41"/>
        <v>50.025214458062244</v>
      </c>
      <c r="J182" s="6">
        <f t="shared" si="41"/>
        <v>55.027735903868461</v>
      </c>
      <c r="K182" s="6">
        <f t="shared" si="41"/>
        <v>79.039838843738352</v>
      </c>
      <c r="L182" s="6">
        <f t="shared" si="41"/>
        <v>65.032778795480894</v>
      </c>
      <c r="M182" s="7">
        <f t="shared" si="41"/>
        <v>60.030257349674685</v>
      </c>
    </row>
    <row r="183" spans="2:14" x14ac:dyDescent="0.3">
      <c r="E183" s="73">
        <f t="shared" si="41"/>
        <v>70.260445077604174</v>
      </c>
      <c r="F183" s="74">
        <f t="shared" si="41"/>
        <v>55.104162665126168</v>
      </c>
      <c r="G183" s="74">
        <f t="shared" si="41"/>
        <v>47.089011732016914</v>
      </c>
      <c r="H183" s="74">
        <f t="shared" si="41"/>
        <v>82.155297064369947</v>
      </c>
      <c r="I183" s="74">
        <f t="shared" si="41"/>
        <v>50.094693331932881</v>
      </c>
      <c r="J183" s="74">
        <f t="shared" si="41"/>
        <v>55.104162665126154</v>
      </c>
      <c r="K183" s="74">
        <f t="shared" si="41"/>
        <v>79.149615464453959</v>
      </c>
      <c r="L183" s="74">
        <f t="shared" si="41"/>
        <v>65.123101331512757</v>
      </c>
      <c r="M183" s="75">
        <f t="shared" si="41"/>
        <v>60.113631998319462</v>
      </c>
    </row>
    <row r="184" spans="2:14" x14ac:dyDescent="0.3">
      <c r="D184" s="25" t="s">
        <v>47</v>
      </c>
      <c r="E184" s="13">
        <f>+MIN(E181:E183)</f>
        <v>66.945679753362569</v>
      </c>
      <c r="F184" s="14">
        <f t="shared" ref="F184:M184" si="42">+MIN(F181:F183)</f>
        <v>52.269342209368958</v>
      </c>
      <c r="G184" s="14">
        <f t="shared" si="42"/>
        <v>44.666528797097115</v>
      </c>
      <c r="H184" s="14">
        <f t="shared" si="42"/>
        <v>77.928837475786437</v>
      </c>
      <c r="I184" s="14">
        <f t="shared" si="42"/>
        <v>47.517583826699038</v>
      </c>
      <c r="J184" s="14">
        <f t="shared" si="42"/>
        <v>52.269342209368958</v>
      </c>
      <c r="K184" s="14">
        <f t="shared" si="42"/>
        <v>75.0777824461845</v>
      </c>
      <c r="L184" s="14">
        <f t="shared" si="42"/>
        <v>61.772858974708768</v>
      </c>
      <c r="M184" s="15">
        <f t="shared" si="42"/>
        <v>57.021100592038856</v>
      </c>
      <c r="N184" s="19">
        <f>+SUM(E184:M184)</f>
        <v>535.46905628461525</v>
      </c>
    </row>
    <row r="187" spans="2:14" x14ac:dyDescent="0.3">
      <c r="C187" s="115" t="s">
        <v>61</v>
      </c>
      <c r="D187" s="77" t="s">
        <v>48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</row>
    <row r="188" spans="2:14" x14ac:dyDescent="0.3">
      <c r="B188" s="18" cm="1">
        <f t="array" ref="B188:B196">+TRANSPOSE(E184:M184)</f>
        <v>66.945679753362569</v>
      </c>
      <c r="C188" s="5" cm="1">
        <f t="array" ref="C188:C196">+H47:H55</f>
        <v>30.610989010989002</v>
      </c>
      <c r="D188" s="79">
        <f>+G188-SUM(E150:M150)</f>
        <v>30.145679753362558</v>
      </c>
      <c r="E188" s="117">
        <f>+C188-D188</f>
        <v>0.46530925762644415</v>
      </c>
      <c r="F188" s="78">
        <f>+SUM(E150:M150)+C188</f>
        <v>67.410989010989013</v>
      </c>
      <c r="G188" s="79">
        <f>+MIN(B188,F188)</f>
        <v>66.945679753362569</v>
      </c>
      <c r="H188" s="117">
        <f>+F188-G188</f>
        <v>0.46530925762644415</v>
      </c>
      <c r="I188" s="120" t="b">
        <f>+H188&lt;0.001</f>
        <v>0</v>
      </c>
    </row>
    <row r="189" spans="2:14" x14ac:dyDescent="0.3">
      <c r="B189" s="18">
        <v>52.269342209368958</v>
      </c>
      <c r="C189" s="5">
        <v>4.219780219780219</v>
      </c>
      <c r="D189" s="79">
        <f t="shared" ref="D189:D196" si="43">+G189-SUM(E151:M151)</f>
        <v>4.219780219780219</v>
      </c>
      <c r="E189" s="117">
        <f t="shared" ref="E189:E196" si="44">+C189-D189</f>
        <v>0</v>
      </c>
      <c r="F189" s="78">
        <f t="shared" ref="F189:F196" si="45">+SUM(E151:M151)+C189</f>
        <v>52.219780219780219</v>
      </c>
      <c r="G189" s="79">
        <f t="shared" ref="G189:G196" si="46">+MIN(B189,F189)</f>
        <v>52.219780219780219</v>
      </c>
      <c r="H189" s="117">
        <f t="shared" ref="H189:H196" si="47">+F189-G189</f>
        <v>0</v>
      </c>
      <c r="I189" s="120" t="b">
        <f t="shared" ref="I189:I196" si="48">+H189&lt;0.001</f>
        <v>1</v>
      </c>
    </row>
    <row r="190" spans="2:14" x14ac:dyDescent="0.3">
      <c r="B190" s="18">
        <v>44.666528797097115</v>
      </c>
      <c r="C190" s="5">
        <v>11.624175824175829</v>
      </c>
      <c r="D190" s="79">
        <f t="shared" si="43"/>
        <v>11.624175824175829</v>
      </c>
      <c r="E190" s="117">
        <f t="shared" si="44"/>
        <v>0</v>
      </c>
      <c r="F190" s="78">
        <f t="shared" si="45"/>
        <v>44.624175824175829</v>
      </c>
      <c r="G190" s="79">
        <f t="shared" si="46"/>
        <v>44.624175824175829</v>
      </c>
      <c r="H190" s="117">
        <f t="shared" si="47"/>
        <v>0</v>
      </c>
      <c r="I190" s="120" t="b">
        <f t="shared" si="48"/>
        <v>1</v>
      </c>
    </row>
    <row r="191" spans="2:14" x14ac:dyDescent="0.3">
      <c r="B191" s="18">
        <v>77.928837475786437</v>
      </c>
      <c r="C191" s="5">
        <v>5.8549450549450199</v>
      </c>
      <c r="D191" s="79">
        <f t="shared" si="43"/>
        <v>5.8549450549450199</v>
      </c>
      <c r="E191" s="117">
        <f t="shared" si="44"/>
        <v>0</v>
      </c>
      <c r="F191" s="78">
        <f t="shared" si="45"/>
        <v>77.85494505494502</v>
      </c>
      <c r="G191" s="79">
        <f t="shared" si="46"/>
        <v>77.85494505494502</v>
      </c>
      <c r="H191" s="117">
        <f t="shared" si="47"/>
        <v>0</v>
      </c>
      <c r="I191" s="120" t="b">
        <f t="shared" si="48"/>
        <v>1</v>
      </c>
    </row>
    <row r="192" spans="2:14" x14ac:dyDescent="0.3">
      <c r="B192" s="18">
        <v>47.517583826699038</v>
      </c>
      <c r="C192" s="5">
        <v>2.4725274725274673</v>
      </c>
      <c r="D192" s="79">
        <f t="shared" si="43"/>
        <v>2.4725274725274673</v>
      </c>
      <c r="E192" s="117">
        <f t="shared" si="44"/>
        <v>0</v>
      </c>
      <c r="F192" s="78">
        <f t="shared" si="45"/>
        <v>47.472527472527467</v>
      </c>
      <c r="G192" s="79">
        <f t="shared" si="46"/>
        <v>47.472527472527467</v>
      </c>
      <c r="H192" s="117">
        <f t="shared" si="47"/>
        <v>0</v>
      </c>
      <c r="I192" s="120" t="b">
        <f t="shared" si="48"/>
        <v>1</v>
      </c>
    </row>
    <row r="193" spans="2:13" x14ac:dyDescent="0.3">
      <c r="B193" s="18">
        <v>52.269342209368958</v>
      </c>
      <c r="C193" s="5">
        <v>17.219780219780219</v>
      </c>
      <c r="D193" s="79">
        <f t="shared" si="43"/>
        <v>17.219780219780219</v>
      </c>
      <c r="E193" s="117">
        <f t="shared" si="44"/>
        <v>0</v>
      </c>
      <c r="F193" s="78">
        <f t="shared" si="45"/>
        <v>52.219780219780233</v>
      </c>
      <c r="G193" s="79">
        <f t="shared" si="46"/>
        <v>52.219780219780233</v>
      </c>
      <c r="H193" s="117">
        <f t="shared" si="47"/>
        <v>0</v>
      </c>
      <c r="I193" s="120" t="b">
        <f t="shared" si="48"/>
        <v>1</v>
      </c>
    </row>
    <row r="194" spans="2:13" x14ac:dyDescent="0.3">
      <c r="B194" s="18">
        <v>75.0777824461845</v>
      </c>
      <c r="C194" s="5">
        <v>11.00659340659341</v>
      </c>
      <c r="D194" s="79">
        <f t="shared" si="43"/>
        <v>11.00659340659341</v>
      </c>
      <c r="E194" s="117">
        <f t="shared" si="44"/>
        <v>0</v>
      </c>
      <c r="F194" s="78">
        <f t="shared" si="45"/>
        <v>75.00659340659341</v>
      </c>
      <c r="G194" s="79">
        <f t="shared" si="46"/>
        <v>75.00659340659341</v>
      </c>
      <c r="H194" s="117">
        <f t="shared" si="47"/>
        <v>0</v>
      </c>
      <c r="I194" s="120" t="b">
        <f t="shared" si="48"/>
        <v>1</v>
      </c>
    </row>
    <row r="195" spans="2:13" x14ac:dyDescent="0.3">
      <c r="B195" s="18">
        <v>61.772858974708768</v>
      </c>
      <c r="C195" s="5">
        <v>24.714285714285687</v>
      </c>
      <c r="D195" s="79">
        <f t="shared" si="43"/>
        <v>24.714285714285687</v>
      </c>
      <c r="E195" s="117">
        <f t="shared" si="44"/>
        <v>0</v>
      </c>
      <c r="F195" s="78">
        <f t="shared" si="45"/>
        <v>61.714285714285701</v>
      </c>
      <c r="G195" s="79">
        <f t="shared" si="46"/>
        <v>61.714285714285701</v>
      </c>
      <c r="H195" s="117">
        <f t="shared" si="47"/>
        <v>0</v>
      </c>
      <c r="I195" s="120" t="b">
        <f t="shared" si="48"/>
        <v>1</v>
      </c>
    </row>
    <row r="196" spans="2:13" x14ac:dyDescent="0.3">
      <c r="B196" s="18">
        <v>57.021100592038856</v>
      </c>
      <c r="C196" s="9">
        <v>20.967032967032999</v>
      </c>
      <c r="D196" s="81">
        <f t="shared" si="43"/>
        <v>20.967032967032999</v>
      </c>
      <c r="E196" s="118">
        <f t="shared" si="44"/>
        <v>0</v>
      </c>
      <c r="F196" s="80">
        <f t="shared" si="45"/>
        <v>56.967032967032992</v>
      </c>
      <c r="G196" s="81">
        <f t="shared" si="46"/>
        <v>56.967032967032992</v>
      </c>
      <c r="H196" s="118">
        <f t="shared" si="47"/>
        <v>0</v>
      </c>
      <c r="I196" s="120" t="b">
        <f t="shared" si="48"/>
        <v>1</v>
      </c>
    </row>
    <row r="198" spans="2:13" ht="15" thickBot="1" x14ac:dyDescent="0.35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13" ht="15" thickBot="1" x14ac:dyDescent="0.35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13" x14ac:dyDescent="0.3">
      <c r="C200" s="20" t="s">
        <v>1</v>
      </c>
      <c r="D200" s="28" t="s">
        <v>51</v>
      </c>
      <c r="E200" s="1">
        <f t="shared" ref="E200:M208" si="49">+E150/E$184</f>
        <v>0.11348309386074436</v>
      </c>
      <c r="F200" s="2">
        <f t="shared" si="49"/>
        <v>7.6688228018899032E-2</v>
      </c>
      <c r="G200" s="2">
        <f t="shared" si="49"/>
        <v>0.17086910675204411</v>
      </c>
      <c r="H200" s="2">
        <f t="shared" si="49"/>
        <v>1.3853259477824308E-2</v>
      </c>
      <c r="I200" s="2">
        <f t="shared" si="49"/>
        <v>8.9968236607293316E-3</v>
      </c>
      <c r="J200" s="2">
        <f t="shared" si="49"/>
        <v>0.1165669668797412</v>
      </c>
      <c r="K200" s="2">
        <f t="shared" si="49"/>
        <v>3.4311999972636148E-2</v>
      </c>
      <c r="L200" s="2">
        <f t="shared" si="49"/>
        <v>8.9807959692303943E-2</v>
      </c>
      <c r="M200" s="3">
        <f t="shared" si="49"/>
        <v>3.2242561118097257E-2</v>
      </c>
    </row>
    <row r="201" spans="2:13" x14ac:dyDescent="0.3">
      <c r="C201" s="20" t="s">
        <v>1</v>
      </c>
      <c r="D201" s="25" t="s">
        <v>52</v>
      </c>
      <c r="E201" s="5">
        <f t="shared" si="49"/>
        <v>0.10636336963072922</v>
      </c>
      <c r="F201" s="6">
        <f t="shared" si="49"/>
        <v>7.2050947025645254E-2</v>
      </c>
      <c r="G201" s="6">
        <f t="shared" si="49"/>
        <v>0.17512200556889762</v>
      </c>
      <c r="H201" s="6">
        <f t="shared" si="49"/>
        <v>6.3104682857900926E-2</v>
      </c>
      <c r="I201" s="6">
        <f t="shared" si="49"/>
        <v>4.1761661775490601E-2</v>
      </c>
      <c r="J201" s="6">
        <f t="shared" si="49"/>
        <v>0.16677321300172721</v>
      </c>
      <c r="K201" s="6">
        <f t="shared" si="49"/>
        <v>3.0978657055778635E-2</v>
      </c>
      <c r="L201" s="6">
        <f t="shared" si="49"/>
        <v>7.9358092216048878E-2</v>
      </c>
      <c r="M201" s="7">
        <f t="shared" si="49"/>
        <v>0.11301228925423132</v>
      </c>
    </row>
    <row r="202" spans="2:13" x14ac:dyDescent="0.3">
      <c r="C202" s="20" t="s">
        <v>1</v>
      </c>
      <c r="D202" s="25" t="s">
        <v>53</v>
      </c>
      <c r="E202" s="5">
        <f t="shared" si="49"/>
        <v>2.0733425446037072E-2</v>
      </c>
      <c r="F202" s="6">
        <f t="shared" si="49"/>
        <v>1.2140931453617795E-2</v>
      </c>
      <c r="G202" s="6">
        <f t="shared" si="49"/>
        <v>1.6237111974443261E-2</v>
      </c>
      <c r="H202" s="6">
        <f t="shared" si="49"/>
        <v>8.5271835274409138E-2</v>
      </c>
      <c r="I202" s="6">
        <f t="shared" si="49"/>
        <v>8.5090370269009785E-2</v>
      </c>
      <c r="J202" s="6">
        <f t="shared" si="49"/>
        <v>6.5213950609118332E-2</v>
      </c>
      <c r="K202" s="6">
        <f t="shared" si="49"/>
        <v>8.0057459019652763E-2</v>
      </c>
      <c r="L202" s="6">
        <f t="shared" si="49"/>
        <v>6.1051375613860405E-2</v>
      </c>
      <c r="M202" s="7">
        <f t="shared" si="49"/>
        <v>0.1117685232325331</v>
      </c>
    </row>
    <row r="203" spans="2:13" x14ac:dyDescent="0.3">
      <c r="C203" s="20" t="s">
        <v>10</v>
      </c>
      <c r="D203" s="25" t="str">
        <f>+D200</f>
        <v>Agr</v>
      </c>
      <c r="E203" s="5">
        <f t="shared" si="49"/>
        <v>0.13228212328351621</v>
      </c>
      <c r="F203" s="6">
        <f t="shared" si="49"/>
        <v>0.11161413213969537</v>
      </c>
      <c r="G203" s="6">
        <f t="shared" si="49"/>
        <v>0.11962237419256758</v>
      </c>
      <c r="H203" s="6">
        <f t="shared" si="49"/>
        <v>8.8906913712590227E-2</v>
      </c>
      <c r="I203" s="6">
        <f t="shared" si="49"/>
        <v>0.19813577251372455</v>
      </c>
      <c r="J203" s="6">
        <f t="shared" si="49"/>
        <v>0.15995584486606526</v>
      </c>
      <c r="K203" s="6">
        <f t="shared" si="49"/>
        <v>0.12540238766691425</v>
      </c>
      <c r="L203" s="6">
        <f t="shared" si="49"/>
        <v>0.14993658202316454</v>
      </c>
      <c r="M203" s="7">
        <f t="shared" si="49"/>
        <v>0.15057746764336027</v>
      </c>
    </row>
    <row r="204" spans="2:13" x14ac:dyDescent="0.3">
      <c r="C204" s="20" t="s">
        <v>10</v>
      </c>
      <c r="D204" s="25" t="str">
        <f t="shared" ref="D204:D208" si="50">+D201</f>
        <v>Ind</v>
      </c>
      <c r="E204" s="5">
        <f t="shared" si="49"/>
        <v>6.0227326317609353E-2</v>
      </c>
      <c r="F204" s="6">
        <f t="shared" si="49"/>
        <v>4.3317636323181058E-2</v>
      </c>
      <c r="G204" s="6">
        <f t="shared" si="49"/>
        <v>6.9917647407218772E-2</v>
      </c>
      <c r="H204" s="6">
        <f t="shared" si="49"/>
        <v>7.7811485495078811E-2</v>
      </c>
      <c r="I204" s="6">
        <f t="shared" si="49"/>
        <v>0.13878221117466</v>
      </c>
      <c r="J204" s="6">
        <f t="shared" si="49"/>
        <v>7.8269437925688523E-2</v>
      </c>
      <c r="K204" s="6">
        <f t="shared" si="49"/>
        <v>0.11605325215142122</v>
      </c>
      <c r="L204" s="6">
        <f t="shared" si="49"/>
        <v>3.8423080387449557E-2</v>
      </c>
      <c r="M204" s="7">
        <f t="shared" si="49"/>
        <v>0.13582528770314481</v>
      </c>
    </row>
    <row r="205" spans="2:13" x14ac:dyDescent="0.3">
      <c r="C205" s="20" t="s">
        <v>10</v>
      </c>
      <c r="D205" s="25" t="str">
        <f t="shared" si="50"/>
        <v>Serv</v>
      </c>
      <c r="E205" s="5">
        <f t="shared" si="49"/>
        <v>8.6178202845227966E-2</v>
      </c>
      <c r="F205" s="6">
        <f t="shared" si="49"/>
        <v>8.1386042899345812E-2</v>
      </c>
      <c r="G205" s="6">
        <f t="shared" si="49"/>
        <v>8.1357542907310038E-2</v>
      </c>
      <c r="H205" s="6">
        <f t="shared" si="49"/>
        <v>3.1399292556625241E-2</v>
      </c>
      <c r="I205" s="6">
        <f t="shared" si="49"/>
        <v>0.16195376037094594</v>
      </c>
      <c r="J205" s="6">
        <f t="shared" si="49"/>
        <v>3.8440929379674228E-2</v>
      </c>
      <c r="K205" s="6">
        <f t="shared" si="49"/>
        <v>2.3626847951673784E-2</v>
      </c>
      <c r="L205" s="6">
        <f t="shared" si="49"/>
        <v>8.5128583344693268E-2</v>
      </c>
      <c r="M205" s="7">
        <f t="shared" si="49"/>
        <v>3.7853645055047062E-2</v>
      </c>
    </row>
    <row r="206" spans="2:13" x14ac:dyDescent="0.3">
      <c r="C206" s="20" t="s">
        <v>11</v>
      </c>
      <c r="D206" s="25" t="str">
        <f t="shared" si="50"/>
        <v>Agr</v>
      </c>
      <c r="E206" s="5">
        <f t="shared" si="49"/>
        <v>6.4093937785316815E-2</v>
      </c>
      <c r="F206" s="6">
        <f t="shared" si="49"/>
        <v>0.17533400347776923</v>
      </c>
      <c r="G206" s="6">
        <f t="shared" si="49"/>
        <v>0.17759362543836701</v>
      </c>
      <c r="H206" s="6">
        <f t="shared" si="49"/>
        <v>0.1045568999803172</v>
      </c>
      <c r="I206" s="6">
        <f t="shared" si="49"/>
        <v>0.19286740382554615</v>
      </c>
      <c r="J206" s="6">
        <f t="shared" si="49"/>
        <v>3.256809734510261E-2</v>
      </c>
      <c r="K206" s="6">
        <f t="shared" si="49"/>
        <v>9.3450169322474921E-2</v>
      </c>
      <c r="L206" s="6">
        <f t="shared" si="49"/>
        <v>0.14487084289991611</v>
      </c>
      <c r="M206" s="7">
        <f t="shared" si="49"/>
        <v>0.13384663790520915</v>
      </c>
    </row>
    <row r="207" spans="2:13" x14ac:dyDescent="0.3">
      <c r="C207" s="20" t="s">
        <v>11</v>
      </c>
      <c r="D207" s="25" t="str">
        <f t="shared" si="50"/>
        <v>Ind</v>
      </c>
      <c r="E207" s="5">
        <f t="shared" si="49"/>
        <v>2.6715253230321843E-2</v>
      </c>
      <c r="F207" s="6">
        <f t="shared" si="49"/>
        <v>0.13346859747884507</v>
      </c>
      <c r="G207" s="6">
        <f t="shared" si="49"/>
        <v>2.3753373777178455E-2</v>
      </c>
      <c r="H207" s="6">
        <f t="shared" si="49"/>
        <v>0.10301896669853683</v>
      </c>
      <c r="I207" s="6">
        <f t="shared" si="49"/>
        <v>8.9552109109223166E-3</v>
      </c>
      <c r="J207" s="6">
        <f t="shared" si="49"/>
        <v>2.2935851502384245E-2</v>
      </c>
      <c r="K207" s="6">
        <f t="shared" si="49"/>
        <v>9.2840348844791143E-2</v>
      </c>
      <c r="L207" s="6">
        <f t="shared" si="49"/>
        <v>0.14136287370224215</v>
      </c>
      <c r="M207" s="7">
        <f t="shared" si="49"/>
        <v>3.1901806540509663E-2</v>
      </c>
    </row>
    <row r="208" spans="2:13" x14ac:dyDescent="0.3">
      <c r="C208" s="20" t="s">
        <v>11</v>
      </c>
      <c r="D208" s="25" t="str">
        <f t="shared" si="50"/>
        <v>Serv</v>
      </c>
      <c r="E208" s="9">
        <f t="shared" si="49"/>
        <v>0.12959862590482957</v>
      </c>
      <c r="F208" s="10">
        <f t="shared" si="49"/>
        <v>4.0648371462150168E-2</v>
      </c>
      <c r="G208" s="10">
        <f t="shared" si="49"/>
        <v>8.1849576603505253E-2</v>
      </c>
      <c r="H208" s="10">
        <f t="shared" si="49"/>
        <v>0.11474628045635708</v>
      </c>
      <c r="I208" s="10">
        <f t="shared" si="49"/>
        <v>2.7056932953776782E-2</v>
      </c>
      <c r="J208" s="10">
        <f t="shared" si="49"/>
        <v>1.1352559281304948E-2</v>
      </c>
      <c r="K208" s="10">
        <f t="shared" si="49"/>
        <v>4.3107888721519452E-2</v>
      </c>
      <c r="L208" s="10">
        <f t="shared" si="49"/>
        <v>1.6010019499276211E-2</v>
      </c>
      <c r="M208" s="11">
        <f t="shared" si="49"/>
        <v>0.11393654670639342</v>
      </c>
    </row>
    <row r="211" spans="3:13" ht="15" thickBot="1" x14ac:dyDescent="0.35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" thickBot="1" x14ac:dyDescent="0.35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3">
      <c r="C213" s="20" t="s">
        <v>1</v>
      </c>
      <c r="D213" s="28" t="s">
        <v>51</v>
      </c>
      <c r="E213" s="1" cm="1">
        <f t="array" ref="E213:M221">+MINVERSE(_xlfn.MUNIT(COUNTA($D$213:$D$221))-E200:M208)</f>
        <v>1.3027568716865603</v>
      </c>
      <c r="F213" s="2">
        <v>0.26496923308729264</v>
      </c>
      <c r="G213" s="2">
        <v>0.40191273146184642</v>
      </c>
      <c r="H213" s="2">
        <v>0.19390838752127429</v>
      </c>
      <c r="I213" s="2">
        <v>0.22273243208912391</v>
      </c>
      <c r="J213" s="2">
        <v>0.29846735121960122</v>
      </c>
      <c r="K213" s="2">
        <v>0.19983424190063809</v>
      </c>
      <c r="L213" s="2">
        <v>0.30117487151359262</v>
      </c>
      <c r="M213" s="3">
        <v>0.2527746302988938</v>
      </c>
    </row>
    <row r="214" spans="3:13" x14ac:dyDescent="0.3">
      <c r="C214" s="20" t="s">
        <v>1</v>
      </c>
      <c r="D214" s="25" t="s">
        <v>52</v>
      </c>
      <c r="E214" s="5">
        <v>0.36702113520289958</v>
      </c>
      <c r="F214" s="6">
        <v>1.3192653290989846</v>
      </c>
      <c r="G214" s="6">
        <v>0.48197515067611513</v>
      </c>
      <c r="H214" s="6">
        <v>0.30596679643950198</v>
      </c>
      <c r="I214" s="6">
        <v>0.33561726662884733</v>
      </c>
      <c r="J214" s="6">
        <v>0.40612056864098572</v>
      </c>
      <c r="K214" s="6">
        <v>0.2533358116094076</v>
      </c>
      <c r="L214" s="6">
        <v>0.35376660258120118</v>
      </c>
      <c r="M214" s="7">
        <v>0.41421485924610191</v>
      </c>
    </row>
    <row r="215" spans="3:13" x14ac:dyDescent="0.3">
      <c r="C215" s="20" t="s">
        <v>1</v>
      </c>
      <c r="D215" s="25" t="s">
        <v>53</v>
      </c>
      <c r="E215" s="5">
        <v>0.21324552759050291</v>
      </c>
      <c r="F215" s="6">
        <v>0.20143185811758554</v>
      </c>
      <c r="G215" s="6">
        <v>1.2436344552453809</v>
      </c>
      <c r="H215" s="6">
        <v>0.26959482560236658</v>
      </c>
      <c r="I215" s="6">
        <v>0.31056091386314383</v>
      </c>
      <c r="J215" s="6">
        <v>0.23404235041534033</v>
      </c>
      <c r="K215" s="6">
        <v>0.25100491136022285</v>
      </c>
      <c r="L215" s="6">
        <v>0.26223516049835482</v>
      </c>
      <c r="M215" s="7">
        <v>0.34110115845243294</v>
      </c>
    </row>
    <row r="216" spans="3:13" x14ac:dyDescent="0.3">
      <c r="C216" s="20" t="s">
        <v>10</v>
      </c>
      <c r="D216" s="25" t="str">
        <f>+D213</f>
        <v>Agr</v>
      </c>
      <c r="E216" s="5">
        <v>0.53616295356901755</v>
      </c>
      <c r="F216" s="6">
        <v>0.50910546594298112</v>
      </c>
      <c r="G216" s="6">
        <v>0.60747432909047872</v>
      </c>
      <c r="H216" s="6">
        <v>1.4729858632404746</v>
      </c>
      <c r="I216" s="6">
        <v>0.6630455070365594</v>
      </c>
      <c r="J216" s="6">
        <v>0.53110646236677117</v>
      </c>
      <c r="K216" s="6">
        <v>0.48305850574939302</v>
      </c>
      <c r="L216" s="6">
        <v>0.57910790284789226</v>
      </c>
      <c r="M216" s="7">
        <v>0.62953780136721482</v>
      </c>
    </row>
    <row r="217" spans="3:13" x14ac:dyDescent="0.3">
      <c r="C217" s="20" t="s">
        <v>10</v>
      </c>
      <c r="D217" s="25" t="str">
        <f t="shared" ref="D217:D221" si="51">+D214</f>
        <v>Ind</v>
      </c>
      <c r="E217" s="5">
        <v>0.32288468080711646</v>
      </c>
      <c r="F217" s="6">
        <v>0.29622226529329559</v>
      </c>
      <c r="G217" s="6">
        <v>0.38540124245072271</v>
      </c>
      <c r="H217" s="6">
        <v>0.32775696976561003</v>
      </c>
      <c r="I217" s="6">
        <v>1.446734892120628</v>
      </c>
      <c r="J217" s="6">
        <v>0.31344804291371492</v>
      </c>
      <c r="K217" s="6">
        <v>0.34824399333881151</v>
      </c>
      <c r="L217" s="6">
        <v>0.30880016669328997</v>
      </c>
      <c r="M217" s="7">
        <v>0.45272923839931983</v>
      </c>
    </row>
    <row r="218" spans="3:13" x14ac:dyDescent="0.3">
      <c r="C218" s="20" t="s">
        <v>10</v>
      </c>
      <c r="D218" s="25" t="str">
        <f t="shared" si="51"/>
        <v>Serv</v>
      </c>
      <c r="E218" s="5">
        <v>0.28267259501636494</v>
      </c>
      <c r="F218" s="6">
        <v>0.27272717758556231</v>
      </c>
      <c r="G218" s="6">
        <v>0.32030009620040639</v>
      </c>
      <c r="H218" s="6">
        <v>0.2199598731045132</v>
      </c>
      <c r="I218" s="6">
        <v>0.38677347638066717</v>
      </c>
      <c r="J218" s="6">
        <v>1.2285220367336596</v>
      </c>
      <c r="K218" s="6">
        <v>0.20355136120013523</v>
      </c>
      <c r="L218" s="6">
        <v>0.29455354701318132</v>
      </c>
      <c r="M218" s="7">
        <v>0.27597932297998545</v>
      </c>
    </row>
    <row r="219" spans="3:13" x14ac:dyDescent="0.3">
      <c r="C219" s="20" t="s">
        <v>11</v>
      </c>
      <c r="D219" s="25" t="str">
        <f t="shared" si="51"/>
        <v>Agr</v>
      </c>
      <c r="E219" s="5">
        <v>0.43310443864610476</v>
      </c>
      <c r="F219" s="6">
        <v>0.53569031853914451</v>
      </c>
      <c r="G219" s="6">
        <v>0.62274780836300503</v>
      </c>
      <c r="H219" s="6">
        <v>0.46671246362879476</v>
      </c>
      <c r="I219" s="6">
        <v>0.61568325117706035</v>
      </c>
      <c r="J219" s="6">
        <v>0.38359314325822436</v>
      </c>
      <c r="K219" s="6">
        <v>1.4292366233456542</v>
      </c>
      <c r="L219" s="6">
        <v>0.53827648188229427</v>
      </c>
      <c r="M219" s="7">
        <v>0.58799426814855293</v>
      </c>
    </row>
    <row r="220" spans="3:13" x14ac:dyDescent="0.3">
      <c r="C220" s="20" t="s">
        <v>11</v>
      </c>
      <c r="D220" s="25" t="str">
        <f t="shared" si="51"/>
        <v>Ind</v>
      </c>
      <c r="E220" s="5">
        <v>0.23801996544399315</v>
      </c>
      <c r="F220" s="6">
        <v>0.35676789712367457</v>
      </c>
      <c r="G220" s="6">
        <v>0.28672754857274263</v>
      </c>
      <c r="H220" s="6">
        <v>0.30865225029798954</v>
      </c>
      <c r="I220" s="6">
        <v>0.24837731785436237</v>
      </c>
      <c r="J220" s="6">
        <v>0.2276321126125388</v>
      </c>
      <c r="K220" s="6">
        <v>0.28207177208339312</v>
      </c>
      <c r="L220" s="6">
        <v>1.3833411765283214</v>
      </c>
      <c r="M220" s="7">
        <v>0.28299867783589666</v>
      </c>
    </row>
    <row r="221" spans="3:13" x14ac:dyDescent="0.3">
      <c r="C221" s="20" t="s">
        <v>11</v>
      </c>
      <c r="D221" s="25" t="str">
        <f t="shared" si="51"/>
        <v>Serv</v>
      </c>
      <c r="E221" s="9">
        <v>0.33536799239956683</v>
      </c>
      <c r="F221" s="10">
        <v>0.22886178506420257</v>
      </c>
      <c r="G221" s="10">
        <v>0.32579503560475798</v>
      </c>
      <c r="H221" s="10">
        <v>0.29916470003939988</v>
      </c>
      <c r="I221" s="10">
        <v>0.24610179468437121</v>
      </c>
      <c r="J221" s="10">
        <v>0.20077112205228267</v>
      </c>
      <c r="K221" s="10">
        <v>0.21446583118481122</v>
      </c>
      <c r="L221" s="10">
        <v>0.22388532518248258</v>
      </c>
      <c r="M221" s="11">
        <v>1.3486766081918329</v>
      </c>
    </row>
    <row r="223" spans="3:13" x14ac:dyDescent="0.3">
      <c r="E223" s="16"/>
      <c r="F223" s="16"/>
      <c r="G223" s="18"/>
      <c r="I223" s="16"/>
      <c r="L223" s="16"/>
    </row>
    <row r="224" spans="3:13" x14ac:dyDescent="0.3">
      <c r="E224" s="16"/>
      <c r="F224" s="16"/>
      <c r="G224" s="18"/>
      <c r="I224" s="16"/>
      <c r="L224" s="16"/>
    </row>
    <row r="225" spans="5:12" x14ac:dyDescent="0.3">
      <c r="E225" s="16"/>
      <c r="F225" s="16"/>
      <c r="G225" s="18"/>
      <c r="I225" s="16"/>
      <c r="L225" s="16"/>
    </row>
    <row r="226" spans="5:12" x14ac:dyDescent="0.3">
      <c r="E226" s="16"/>
      <c r="F226" s="16"/>
      <c r="G226" s="18"/>
      <c r="I226" s="16"/>
      <c r="L226" s="16"/>
    </row>
    <row r="227" spans="5:12" x14ac:dyDescent="0.3">
      <c r="E227" s="16"/>
      <c r="F227" s="16"/>
      <c r="G227" s="18"/>
      <c r="I227" s="16"/>
      <c r="L227" s="16"/>
    </row>
    <row r="228" spans="5:12" x14ac:dyDescent="0.3">
      <c r="E228" s="16"/>
      <c r="F228" s="16"/>
      <c r="G228" s="18"/>
      <c r="I228" s="16"/>
      <c r="L228" s="16"/>
    </row>
    <row r="229" spans="5:12" x14ac:dyDescent="0.3">
      <c r="E229" s="16"/>
      <c r="F229" s="16"/>
      <c r="G229" s="18"/>
      <c r="I229" s="16"/>
      <c r="L229" s="16"/>
    </row>
    <row r="230" spans="5:12" x14ac:dyDescent="0.3">
      <c r="E230" s="16"/>
      <c r="F230" s="16"/>
      <c r="G230" s="18"/>
      <c r="I230" s="16"/>
      <c r="L230" s="16"/>
    </row>
    <row r="231" spans="5:12" x14ac:dyDescent="0.3">
      <c r="E231" s="16"/>
      <c r="F231" s="16"/>
      <c r="G231" s="18"/>
      <c r="I231" s="16"/>
      <c r="L231" s="16"/>
    </row>
    <row r="234" spans="5:12" x14ac:dyDescent="0.3">
      <c r="E234" s="16"/>
    </row>
    <row r="235" spans="5:12" x14ac:dyDescent="0.3">
      <c r="E235" s="16"/>
      <c r="F235" s="18"/>
    </row>
    <row r="236" spans="5:12" x14ac:dyDescent="0.3">
      <c r="E236" s="16"/>
      <c r="F236" s="18"/>
    </row>
    <row r="237" spans="5:12" x14ac:dyDescent="0.3">
      <c r="E237" s="16"/>
      <c r="F237" s="18"/>
    </row>
    <row r="238" spans="5:12" x14ac:dyDescent="0.3">
      <c r="E238" s="16"/>
      <c r="F238" s="18"/>
    </row>
    <row r="239" spans="5:12" x14ac:dyDescent="0.3">
      <c r="E239" s="16"/>
      <c r="F239" s="18"/>
    </row>
    <row r="240" spans="5:12" x14ac:dyDescent="0.3">
      <c r="E240" s="16"/>
      <c r="F240" s="18"/>
    </row>
    <row r="241" spans="5:6" x14ac:dyDescent="0.3">
      <c r="E241" s="16"/>
      <c r="F241" s="18"/>
    </row>
    <row r="242" spans="5:6" x14ac:dyDescent="0.3">
      <c r="E242" s="16"/>
      <c r="F242" s="18"/>
    </row>
    <row r="243" spans="5:6" x14ac:dyDescent="0.3">
      <c r="F243" s="18"/>
    </row>
  </sheetData>
  <conditionalFormatting sqref="E106:M114">
    <cfRule type="expression" dxfId="5" priority="1">
      <formula>E106&lt;0</formula>
    </cfRule>
  </conditionalFormatting>
  <conditionalFormatting sqref="E131:M133">
    <cfRule type="expression" dxfId="4" priority="3">
      <formula>E131&lt;0</formula>
    </cfRule>
  </conditionalFormatting>
  <conditionalFormatting sqref="E137:M145">
    <cfRule type="expression" dxfId="3" priority="4">
      <formula>E137&lt;0</formula>
    </cfRule>
  </conditionalFormatting>
  <conditionalFormatting sqref="O137:W1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8881-2B5D-48BA-A9C7-9DBFECE4365A}">
  <dimension ref="A3:Y243"/>
  <sheetViews>
    <sheetView showGridLines="0" topLeftCell="A163" zoomScaleNormal="100" workbookViewId="0">
      <selection activeCell="N189" sqref="N189"/>
    </sheetView>
  </sheetViews>
  <sheetFormatPr defaultRowHeight="14.4" x14ac:dyDescent="0.3"/>
  <cols>
    <col min="1" max="1" width="12.6640625" style="65" customWidth="1"/>
    <col min="2" max="23" width="12.6640625" customWidth="1"/>
  </cols>
  <sheetData>
    <row r="3" spans="3:18" ht="15" thickBot="1" x14ac:dyDescent="0.35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" thickBot="1" x14ac:dyDescent="0.35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3">
      <c r="C5" s="20" t="s">
        <v>1</v>
      </c>
      <c r="D5" s="28" t="s">
        <v>51</v>
      </c>
      <c r="E5" s="82" cm="1">
        <f t="array" ref="E5:M13">+'IO_sub_model (4)'!E150:M158</f>
        <v>7.5972028590221781</v>
      </c>
      <c r="F5" s="83">
        <v>4.0084432337499507</v>
      </c>
      <c r="G5" s="83">
        <v>7.6321298772744397</v>
      </c>
      <c r="H5" s="83">
        <v>1.0795684063572686</v>
      </c>
      <c r="I5" s="83">
        <v>0.42750732247273532</v>
      </c>
      <c r="J5" s="83">
        <v>6.0928786821453702</v>
      </c>
      <c r="K5" s="83">
        <v>2.5760688692390654</v>
      </c>
      <c r="L5" s="83">
        <v>5.5476944288790211</v>
      </c>
      <c r="M5" s="84">
        <v>1.8385063208599846</v>
      </c>
      <c r="N5" s="24">
        <f>+O5-SUM(E5:M5)</f>
        <v>30.145679753362558</v>
      </c>
      <c r="O5" s="29" cm="1">
        <f t="array" ref="O5:O13">+TRANSPOSE(_xlfn.ANCHORARRAY(E15))</f>
        <v>66.945679753362569</v>
      </c>
      <c r="P5" s="62" cm="1">
        <f t="array" ref="P5:P13">+MMULT(E21:M29,O5:O13)</f>
        <v>36.800000000000011</v>
      </c>
      <c r="Q5" s="61">
        <f>+P5+N5</f>
        <v>66.945679753362569</v>
      </c>
      <c r="R5" s="61" t="b">
        <f>+Q5=O5</f>
        <v>1</v>
      </c>
    </row>
    <row r="6" spans="3:18" x14ac:dyDescent="0.3">
      <c r="C6" s="20" t="s">
        <v>1</v>
      </c>
      <c r="D6" s="25" t="s">
        <v>52</v>
      </c>
      <c r="E6" s="85">
        <v>7.1205680807873284</v>
      </c>
      <c r="F6" s="86">
        <v>3.7660556065925661</v>
      </c>
      <c r="G6" s="86">
        <v>7.8220921047485668</v>
      </c>
      <c r="H6" s="86">
        <v>4.9176745743944075</v>
      </c>
      <c r="I6" s="86">
        <v>1.9844132641591277</v>
      </c>
      <c r="J6" s="86">
        <v>8.7171261417432593</v>
      </c>
      <c r="K6" s="86">
        <v>2.3258088749087067</v>
      </c>
      <c r="L6" s="86">
        <v>4.9021762389639214</v>
      </c>
      <c r="M6" s="87">
        <v>6.4440851137021156</v>
      </c>
      <c r="N6" s="24">
        <f t="shared" ref="N6:N13" si="0">+O6-SUM(E6:M6)</f>
        <v>4.2693422093689577</v>
      </c>
      <c r="O6" s="30">
        <v>52.269342209368958</v>
      </c>
      <c r="P6" s="62">
        <v>48</v>
      </c>
      <c r="Q6" s="61">
        <f t="shared" ref="Q6:Q13" si="1">+P6+N6</f>
        <v>52.269342209368958</v>
      </c>
      <c r="R6" s="61" t="b">
        <f t="shared" ref="R6:R13" si="2">+Q6=O6</f>
        <v>1</v>
      </c>
    </row>
    <row r="7" spans="3:18" x14ac:dyDescent="0.3">
      <c r="C7" s="20" t="s">
        <v>1</v>
      </c>
      <c r="D7" s="25" t="s">
        <v>53</v>
      </c>
      <c r="E7" s="85">
        <v>1.3880132601006163</v>
      </c>
      <c r="F7" s="86">
        <v>0.63459850088963987</v>
      </c>
      <c r="G7" s="86">
        <v>0.72525542958816036</v>
      </c>
      <c r="H7" s="86">
        <v>6.6451349923614629</v>
      </c>
      <c r="I7" s="86">
        <v>4.0432888021025324</v>
      </c>
      <c r="J7" s="86">
        <v>3.4086903012128911</v>
      </c>
      <c r="K7" s="86">
        <v>6.0105364914718207</v>
      </c>
      <c r="L7" s="86">
        <v>3.7713180160069726</v>
      </c>
      <c r="M7" s="87">
        <v>6.3731642062659013</v>
      </c>
      <c r="N7" s="24">
        <f t="shared" si="0"/>
        <v>11.666528797097115</v>
      </c>
      <c r="O7" s="30">
        <v>44.666528797097115</v>
      </c>
      <c r="P7" s="62">
        <v>33</v>
      </c>
      <c r="Q7" s="61">
        <f t="shared" si="1"/>
        <v>44.666528797097115</v>
      </c>
      <c r="R7" s="61" t="b">
        <f t="shared" si="2"/>
        <v>1</v>
      </c>
    </row>
    <row r="8" spans="3:18" x14ac:dyDescent="0.3">
      <c r="C8" s="20" t="s">
        <v>10</v>
      </c>
      <c r="D8" s="25" t="str">
        <f>+D5</f>
        <v>Agr</v>
      </c>
      <c r="E8" s="85">
        <v>8.8557166624331032</v>
      </c>
      <c r="F8" s="86">
        <v>5.8339972682114638</v>
      </c>
      <c r="G8" s="86">
        <v>5.3431162216494466</v>
      </c>
      <c r="H8" s="86">
        <v>6.9284124291822122</v>
      </c>
      <c r="I8" s="86">
        <v>9.4149331794886777</v>
      </c>
      <c r="J8" s="86">
        <v>8.360786793693098</v>
      </c>
      <c r="K8" s="86">
        <v>9.4149331794886777</v>
      </c>
      <c r="L8" s="86">
        <v>9.2620113364667969</v>
      </c>
      <c r="M8" s="87">
        <v>8.5860929293865222</v>
      </c>
      <c r="N8" s="24">
        <f t="shared" si="0"/>
        <v>5.9288374757864375</v>
      </c>
      <c r="O8" s="30">
        <v>77.928837475786437</v>
      </c>
      <c r="P8" s="62">
        <v>72</v>
      </c>
      <c r="Q8" s="61">
        <f t="shared" si="1"/>
        <v>77.928837475786437</v>
      </c>
      <c r="R8" s="61" t="b">
        <f t="shared" si="2"/>
        <v>1</v>
      </c>
    </row>
    <row r="9" spans="3:18" x14ac:dyDescent="0.3">
      <c r="C9" s="20" t="s">
        <v>10</v>
      </c>
      <c r="D9" s="25" t="str">
        <f t="shared" ref="D9:D13" si="3">+D6</f>
        <v>Ind</v>
      </c>
      <c r="E9" s="85">
        <v>4.031959300059941</v>
      </c>
      <c r="F9" s="86">
        <v>2.2641843566773416</v>
      </c>
      <c r="G9" s="86">
        <v>3.1229786113398195</v>
      </c>
      <c r="H9" s="86">
        <v>6.0637586068955107</v>
      </c>
      <c r="I9" s="86">
        <v>6.5945953531465547</v>
      </c>
      <c r="J9" s="86">
        <v>4.0910920354727747</v>
      </c>
      <c r="K9" s="86">
        <v>8.713020817196595</v>
      </c>
      <c r="L9" s="86">
        <v>2.3735035261478199</v>
      </c>
      <c r="M9" s="87">
        <v>7.744907393063639</v>
      </c>
      <c r="N9" s="24">
        <f t="shared" si="0"/>
        <v>2.5175838266990382</v>
      </c>
      <c r="O9" s="30">
        <v>47.517583826699038</v>
      </c>
      <c r="P9" s="62">
        <v>45</v>
      </c>
      <c r="Q9" s="61">
        <f t="shared" si="1"/>
        <v>47.517583826699038</v>
      </c>
      <c r="R9" s="61" t="b">
        <f t="shared" si="2"/>
        <v>1</v>
      </c>
    </row>
    <row r="10" spans="3:18" x14ac:dyDescent="0.3">
      <c r="C10" s="20" t="s">
        <v>10</v>
      </c>
      <c r="D10" s="25" t="str">
        <f t="shared" si="3"/>
        <v>Serv</v>
      </c>
      <c r="E10" s="85">
        <v>5.7692583693969501</v>
      </c>
      <c r="F10" s="86">
        <v>4.2539949273722888</v>
      </c>
      <c r="G10" s="86">
        <v>3.6339590331304281</v>
      </c>
      <c r="H10" s="86">
        <v>2.4469103664999192</v>
      </c>
      <c r="I10" s="86">
        <v>7.6956513844755525</v>
      </c>
      <c r="J10" s="86">
        <v>2.0092820925923776</v>
      </c>
      <c r="K10" s="86">
        <v>1.7738513504048443</v>
      </c>
      <c r="L10" s="86">
        <v>5.2586359736684791</v>
      </c>
      <c r="M10" s="87">
        <v>2.1584565024591726</v>
      </c>
      <c r="N10" s="24">
        <f t="shared" si="0"/>
        <v>17.269342209368943</v>
      </c>
      <c r="O10" s="30">
        <v>52.269342209368958</v>
      </c>
      <c r="P10" s="62">
        <v>35.000000000000014</v>
      </c>
      <c r="Q10" s="61">
        <f t="shared" si="1"/>
        <v>52.269342209368958</v>
      </c>
      <c r="R10" s="61" t="b">
        <f t="shared" si="2"/>
        <v>1</v>
      </c>
    </row>
    <row r="11" spans="3:18" x14ac:dyDescent="0.3">
      <c r="C11" s="20" t="s">
        <v>11</v>
      </c>
      <c r="D11" s="25" t="str">
        <f t="shared" si="3"/>
        <v>Agr</v>
      </c>
      <c r="E11" s="85">
        <v>4.2908122331077641</v>
      </c>
      <c r="F11" s="86">
        <v>9.1645930287182065</v>
      </c>
      <c r="G11" s="86">
        <v>7.932490784823699</v>
      </c>
      <c r="H11" s="86">
        <v>8.1479976655381972</v>
      </c>
      <c r="I11" s="86">
        <v>9.1645930287182047</v>
      </c>
      <c r="J11" s="86">
        <v>1.7023130252392089</v>
      </c>
      <c r="K11" s="86">
        <v>7.0160314819518774</v>
      </c>
      <c r="L11" s="86">
        <v>8.9490861480037065</v>
      </c>
      <c r="M11" s="87">
        <v>7.6320826038991321</v>
      </c>
      <c r="N11" s="24">
        <f t="shared" si="0"/>
        <v>11.0777824461845</v>
      </c>
      <c r="O11" s="30">
        <v>75.0777824461845</v>
      </c>
      <c r="P11" s="62">
        <v>64</v>
      </c>
      <c r="Q11" s="61">
        <f t="shared" si="1"/>
        <v>75.0777824461845</v>
      </c>
      <c r="R11" s="61" t="b">
        <f t="shared" si="2"/>
        <v>1</v>
      </c>
    </row>
    <row r="12" spans="3:18" x14ac:dyDescent="0.3">
      <c r="C12" s="20" t="s">
        <v>11</v>
      </c>
      <c r="D12" s="25" t="str">
        <f t="shared" si="3"/>
        <v>Ind</v>
      </c>
      <c r="E12" s="85">
        <v>1.7884707872871108</v>
      </c>
      <c r="F12" s="86">
        <v>6.976315795826272</v>
      </c>
      <c r="G12" s="86">
        <v>1.060980753846553</v>
      </c>
      <c r="H12" s="86">
        <v>8.0281483127737321</v>
      </c>
      <c r="I12" s="86">
        <v>0.42552998514552104</v>
      </c>
      <c r="J12" s="86">
        <v>1.1988418710413913</v>
      </c>
      <c r="K12" s="86">
        <v>6.9702475127971057</v>
      </c>
      <c r="L12" s="86">
        <v>8.7323888614681717</v>
      </c>
      <c r="M12" s="87">
        <v>1.8190761198141645</v>
      </c>
      <c r="N12" s="24">
        <f t="shared" si="0"/>
        <v>24.772858974708754</v>
      </c>
      <c r="O12" s="30">
        <v>61.772858974708768</v>
      </c>
      <c r="P12" s="62">
        <v>37.000000000000014</v>
      </c>
      <c r="Q12" s="61">
        <f t="shared" si="1"/>
        <v>61.772858974708768</v>
      </c>
      <c r="R12" s="61" t="b">
        <f t="shared" si="2"/>
        <v>1</v>
      </c>
    </row>
    <row r="13" spans="3:18" x14ac:dyDescent="0.3">
      <c r="C13" s="20" t="s">
        <v>11</v>
      </c>
      <c r="D13" s="25" t="str">
        <f t="shared" si="3"/>
        <v>Serv</v>
      </c>
      <c r="E13" s="88">
        <v>8.6760681063005585</v>
      </c>
      <c r="F13" s="89">
        <v>2.1246636382086743</v>
      </c>
      <c r="G13" s="89">
        <v>3.6559364703906736</v>
      </c>
      <c r="H13" s="89">
        <v>8.9420442406344609</v>
      </c>
      <c r="I13" s="89">
        <v>1.2856800797244639</v>
      </c>
      <c r="J13" s="89">
        <v>0.59339080602667604</v>
      </c>
      <c r="K13" s="89">
        <v>3.2364446911485678</v>
      </c>
      <c r="L13" s="89">
        <v>0.98898467671112678</v>
      </c>
      <c r="M13" s="90">
        <v>6.4967872908547921</v>
      </c>
      <c r="N13" s="24">
        <f t="shared" si="0"/>
        <v>21.021100592038863</v>
      </c>
      <c r="O13" s="31">
        <v>57.021100592038856</v>
      </c>
      <c r="P13" s="62">
        <v>35.999999999999993</v>
      </c>
      <c r="Q13" s="61">
        <f t="shared" si="1"/>
        <v>57.021100592038856</v>
      </c>
      <c r="R13" s="61" t="b">
        <f t="shared" si="2"/>
        <v>1</v>
      </c>
    </row>
    <row r="14" spans="3:18" x14ac:dyDescent="0.3">
      <c r="D14" s="22" t="s">
        <v>9</v>
      </c>
      <c r="E14" s="13">
        <f>+E15-SUM(E5:E13)</f>
        <v>17.427610094867021</v>
      </c>
      <c r="F14" s="13">
        <f t="shared" ref="F14:M14" si="4">+F15-SUM(F5:F13)</f>
        <v>13.242495853122556</v>
      </c>
      <c r="G14" s="13">
        <f t="shared" si="4"/>
        <v>3.7375895103053409</v>
      </c>
      <c r="H14" s="13">
        <f t="shared" si="4"/>
        <v>24.729187881149265</v>
      </c>
      <c r="I14" s="13">
        <f t="shared" si="4"/>
        <v>6.4813914272656632</v>
      </c>
      <c r="J14" s="13">
        <f t="shared" si="4"/>
        <v>16.094940460201919</v>
      </c>
      <c r="K14" s="13">
        <f t="shared" si="4"/>
        <v>27.04083917757724</v>
      </c>
      <c r="L14" s="13">
        <f t="shared" si="4"/>
        <v>11.987059768392754</v>
      </c>
      <c r="M14" s="13">
        <f t="shared" si="4"/>
        <v>7.9279421117334365</v>
      </c>
      <c r="N14" s="19">
        <f>+SUM(E5:M13)</f>
        <v>406.80000000000007</v>
      </c>
      <c r="R14" s="18"/>
    </row>
    <row r="15" spans="3:18" x14ac:dyDescent="0.3">
      <c r="D15" s="20" t="s">
        <v>8</v>
      </c>
      <c r="E15" s="130" cm="1">
        <f t="array" ref="E15:M15">+'IO_sub_model (4)'!E184:M184</f>
        <v>66.945679753362569</v>
      </c>
      <c r="F15" s="131">
        <v>52.269342209368958</v>
      </c>
      <c r="G15" s="131">
        <v>44.666528797097115</v>
      </c>
      <c r="H15" s="131">
        <v>77.928837475786437</v>
      </c>
      <c r="I15" s="131">
        <v>47.517583826699038</v>
      </c>
      <c r="J15" s="131">
        <v>52.269342209368958</v>
      </c>
      <c r="K15" s="131">
        <v>75.0777824461845</v>
      </c>
      <c r="L15" s="131">
        <v>61.772858974708768</v>
      </c>
      <c r="M15" s="132">
        <v>57.021100592038856</v>
      </c>
      <c r="R15" s="18"/>
    </row>
    <row r="16" spans="3:18" x14ac:dyDescent="0.3">
      <c r="E16" s="97" cm="1">
        <f t="array" ref="E16:M16">+TRANSPOSE(O5:O13)</f>
        <v>66.945679753362569</v>
      </c>
      <c r="F16" s="97">
        <v>52.269342209368958</v>
      </c>
      <c r="G16" s="97">
        <v>44.666528797097115</v>
      </c>
      <c r="H16" s="97">
        <v>77.928837475786437</v>
      </c>
      <c r="I16" s="97">
        <v>47.517583826699038</v>
      </c>
      <c r="J16" s="97">
        <v>52.269342209368958</v>
      </c>
      <c r="K16" s="97">
        <v>75.0777824461845</v>
      </c>
      <c r="L16" s="97">
        <v>61.772858974708768</v>
      </c>
      <c r="M16" s="97">
        <v>57.021100592038856</v>
      </c>
      <c r="R16" s="18"/>
    </row>
    <row r="17" spans="3:18" x14ac:dyDescent="0.3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3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" thickBot="1" x14ac:dyDescent="0.35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" thickBot="1" x14ac:dyDescent="0.35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3">
      <c r="C21" s="20" t="s">
        <v>1</v>
      </c>
      <c r="D21" s="28" t="s">
        <v>51</v>
      </c>
      <c r="E21" s="82" cm="1">
        <f t="array" ref="E21:M29">+'IO_sub_model (4)'!E200:M208</f>
        <v>0.11348309386074436</v>
      </c>
      <c r="F21" s="83">
        <v>7.6688228018899032E-2</v>
      </c>
      <c r="G21" s="83">
        <v>0.17086910675204411</v>
      </c>
      <c r="H21" s="83">
        <v>1.3853259477824308E-2</v>
      </c>
      <c r="I21" s="83">
        <v>8.9968236607293316E-3</v>
      </c>
      <c r="J21" s="83">
        <v>0.1165669668797412</v>
      </c>
      <c r="K21" s="83">
        <v>3.4311999972636148E-2</v>
      </c>
      <c r="L21" s="83">
        <v>8.9807959692303943E-2</v>
      </c>
      <c r="M21" s="84">
        <v>3.2242561118097257E-2</v>
      </c>
    </row>
    <row r="22" spans="3:18" x14ac:dyDescent="0.3">
      <c r="C22" s="20" t="s">
        <v>1</v>
      </c>
      <c r="D22" s="25" t="s">
        <v>52</v>
      </c>
      <c r="E22" s="85">
        <v>0.10636336963072922</v>
      </c>
      <c r="F22" s="86">
        <v>7.2050947025645254E-2</v>
      </c>
      <c r="G22" s="86">
        <v>0.17512200556889762</v>
      </c>
      <c r="H22" s="86">
        <v>6.3104682857900926E-2</v>
      </c>
      <c r="I22" s="86">
        <v>4.1761661775490601E-2</v>
      </c>
      <c r="J22" s="86">
        <v>0.16677321300172721</v>
      </c>
      <c r="K22" s="86">
        <v>3.0978657055778635E-2</v>
      </c>
      <c r="L22" s="86">
        <v>7.9358092216048878E-2</v>
      </c>
      <c r="M22" s="87">
        <v>0.11301228925423132</v>
      </c>
    </row>
    <row r="23" spans="3:18" x14ac:dyDescent="0.3">
      <c r="C23" s="20" t="s">
        <v>1</v>
      </c>
      <c r="D23" s="25" t="s">
        <v>53</v>
      </c>
      <c r="E23" s="85">
        <v>2.0733425446037072E-2</v>
      </c>
      <c r="F23" s="86">
        <v>1.2140931453617795E-2</v>
      </c>
      <c r="G23" s="86">
        <v>1.6237111974443261E-2</v>
      </c>
      <c r="H23" s="86">
        <v>8.5271835274409138E-2</v>
      </c>
      <c r="I23" s="86">
        <v>8.5090370269009785E-2</v>
      </c>
      <c r="J23" s="86">
        <v>6.5213950609118332E-2</v>
      </c>
      <c r="K23" s="86">
        <v>8.0057459019652763E-2</v>
      </c>
      <c r="L23" s="86">
        <v>6.1051375613860405E-2</v>
      </c>
      <c r="M23" s="87">
        <v>0.1117685232325331</v>
      </c>
    </row>
    <row r="24" spans="3:18" x14ac:dyDescent="0.3">
      <c r="C24" s="20" t="s">
        <v>10</v>
      </c>
      <c r="D24" s="25" t="str">
        <f>+D21</f>
        <v>Agr</v>
      </c>
      <c r="E24" s="85">
        <v>0.13228212328351621</v>
      </c>
      <c r="F24" s="86">
        <v>0.11161413213969537</v>
      </c>
      <c r="G24" s="86">
        <v>0.11962237419256758</v>
      </c>
      <c r="H24" s="86">
        <v>8.8906913712590227E-2</v>
      </c>
      <c r="I24" s="86">
        <v>0.19813577251372455</v>
      </c>
      <c r="J24" s="86">
        <v>0.15995584486606526</v>
      </c>
      <c r="K24" s="86">
        <v>0.12540238766691425</v>
      </c>
      <c r="L24" s="86">
        <v>0.14993658202316454</v>
      </c>
      <c r="M24" s="87">
        <v>0.15057746764336027</v>
      </c>
    </row>
    <row r="25" spans="3:18" x14ac:dyDescent="0.3">
      <c r="C25" s="20" t="s">
        <v>10</v>
      </c>
      <c r="D25" s="25" t="str">
        <f t="shared" ref="D25:D29" si="6">+D22</f>
        <v>Ind</v>
      </c>
      <c r="E25" s="85">
        <v>6.0227326317609353E-2</v>
      </c>
      <c r="F25" s="86">
        <v>4.3317636323181058E-2</v>
      </c>
      <c r="G25" s="86">
        <v>6.9917647407218772E-2</v>
      </c>
      <c r="H25" s="86">
        <v>7.7811485495078811E-2</v>
      </c>
      <c r="I25" s="86">
        <v>0.13878221117466</v>
      </c>
      <c r="J25" s="86">
        <v>7.8269437925688523E-2</v>
      </c>
      <c r="K25" s="86">
        <v>0.11605325215142122</v>
      </c>
      <c r="L25" s="86">
        <v>3.8423080387449557E-2</v>
      </c>
      <c r="M25" s="87">
        <v>0.13582528770314481</v>
      </c>
    </row>
    <row r="26" spans="3:18" x14ac:dyDescent="0.3">
      <c r="C26" s="20" t="s">
        <v>10</v>
      </c>
      <c r="D26" s="25" t="str">
        <f t="shared" si="6"/>
        <v>Serv</v>
      </c>
      <c r="E26" s="85">
        <v>8.6178202845227966E-2</v>
      </c>
      <c r="F26" s="86">
        <v>8.1386042899345812E-2</v>
      </c>
      <c r="G26" s="86">
        <v>8.1357542907310038E-2</v>
      </c>
      <c r="H26" s="86">
        <v>3.1399292556625241E-2</v>
      </c>
      <c r="I26" s="86">
        <v>0.16195376037094594</v>
      </c>
      <c r="J26" s="86">
        <v>3.8440929379674228E-2</v>
      </c>
      <c r="K26" s="86">
        <v>2.3626847951673784E-2</v>
      </c>
      <c r="L26" s="86">
        <v>8.5128583344693268E-2</v>
      </c>
      <c r="M26" s="87">
        <v>3.7853645055047062E-2</v>
      </c>
    </row>
    <row r="27" spans="3:18" x14ac:dyDescent="0.3">
      <c r="C27" s="20" t="s">
        <v>11</v>
      </c>
      <c r="D27" s="25" t="str">
        <f t="shared" si="6"/>
        <v>Agr</v>
      </c>
      <c r="E27" s="85">
        <v>6.4093937785316815E-2</v>
      </c>
      <c r="F27" s="86">
        <v>0.17533400347776923</v>
      </c>
      <c r="G27" s="86">
        <v>0.17759362543836701</v>
      </c>
      <c r="H27" s="86">
        <v>0.1045568999803172</v>
      </c>
      <c r="I27" s="86">
        <v>0.19286740382554615</v>
      </c>
      <c r="J27" s="86">
        <v>3.256809734510261E-2</v>
      </c>
      <c r="K27" s="86">
        <v>9.3450169322474921E-2</v>
      </c>
      <c r="L27" s="86">
        <v>0.14487084289991611</v>
      </c>
      <c r="M27" s="87">
        <v>0.13384663790520915</v>
      </c>
    </row>
    <row r="28" spans="3:18" x14ac:dyDescent="0.3">
      <c r="C28" s="20" t="s">
        <v>11</v>
      </c>
      <c r="D28" s="25" t="str">
        <f t="shared" si="6"/>
        <v>Ind</v>
      </c>
      <c r="E28" s="85">
        <v>2.6715253230321843E-2</v>
      </c>
      <c r="F28" s="86">
        <v>0.13346859747884507</v>
      </c>
      <c r="G28" s="86">
        <v>2.3753373777178455E-2</v>
      </c>
      <c r="H28" s="86">
        <v>0.10301896669853683</v>
      </c>
      <c r="I28" s="86">
        <v>8.9552109109223166E-3</v>
      </c>
      <c r="J28" s="86">
        <v>2.2935851502384245E-2</v>
      </c>
      <c r="K28" s="86">
        <v>9.2840348844791143E-2</v>
      </c>
      <c r="L28" s="86">
        <v>0.14136287370224215</v>
      </c>
      <c r="M28" s="87">
        <v>3.1901806540509663E-2</v>
      </c>
    </row>
    <row r="29" spans="3:18" x14ac:dyDescent="0.3">
      <c r="C29" s="20" t="s">
        <v>11</v>
      </c>
      <c r="D29" s="25" t="str">
        <f t="shared" si="6"/>
        <v>Serv</v>
      </c>
      <c r="E29" s="88">
        <v>0.12959862590482957</v>
      </c>
      <c r="F29" s="89">
        <v>4.0648371462150168E-2</v>
      </c>
      <c r="G29" s="89">
        <v>8.1849576603505253E-2</v>
      </c>
      <c r="H29" s="89">
        <v>0.11474628045635708</v>
      </c>
      <c r="I29" s="89">
        <v>2.7056932953776782E-2</v>
      </c>
      <c r="J29" s="89">
        <v>1.1352559281304948E-2</v>
      </c>
      <c r="K29" s="89">
        <v>4.3107888721519452E-2</v>
      </c>
      <c r="L29" s="89">
        <v>1.6010019499276211E-2</v>
      </c>
      <c r="M29" s="90">
        <v>0.11393654670639342</v>
      </c>
    </row>
    <row r="30" spans="3:18" x14ac:dyDescent="0.3">
      <c r="D30" s="22" t="s">
        <v>9</v>
      </c>
      <c r="E30" s="13">
        <f t="shared" ref="E30:M30" si="7">+E14/E$15</f>
        <v>0.2603246416956676</v>
      </c>
      <c r="F30" s="14">
        <f t="shared" si="7"/>
        <v>0.25335110972085123</v>
      </c>
      <c r="G30" s="14">
        <f t="shared" si="7"/>
        <v>8.3677635378468174E-2</v>
      </c>
      <c r="H30" s="14">
        <f t="shared" si="7"/>
        <v>0.31733038349036019</v>
      </c>
      <c r="I30" s="14">
        <f t="shared" si="7"/>
        <v>0.13639985254519441</v>
      </c>
      <c r="J30" s="14">
        <f t="shared" si="7"/>
        <v>0.30792314920919361</v>
      </c>
      <c r="K30" s="14">
        <f t="shared" si="7"/>
        <v>0.36017098929313773</v>
      </c>
      <c r="L30" s="14">
        <f t="shared" si="7"/>
        <v>0.19405059062104496</v>
      </c>
      <c r="M30" s="15">
        <f t="shared" si="7"/>
        <v>0.13903523484147404</v>
      </c>
    </row>
    <row r="31" spans="3:18" x14ac:dyDescent="0.3">
      <c r="D31" s="20" t="s">
        <v>8</v>
      </c>
      <c r="E31" s="13">
        <f t="shared" ref="E31:M31" si="8">SUM(E21:E30)</f>
        <v>1</v>
      </c>
      <c r="F31" s="14">
        <f t="shared" si="8"/>
        <v>1.0000000000000002</v>
      </c>
      <c r="G31" s="14">
        <f t="shared" si="8"/>
        <v>1</v>
      </c>
      <c r="H31" s="14">
        <f t="shared" si="8"/>
        <v>1</v>
      </c>
      <c r="I31" s="14">
        <f t="shared" si="8"/>
        <v>0.99999999999999978</v>
      </c>
      <c r="J31" s="14">
        <f t="shared" si="8"/>
        <v>1</v>
      </c>
      <c r="K31" s="14">
        <f t="shared" si="8"/>
        <v>1</v>
      </c>
      <c r="L31" s="14">
        <f t="shared" si="8"/>
        <v>1</v>
      </c>
      <c r="M31" s="15">
        <f t="shared" si="8"/>
        <v>1</v>
      </c>
    </row>
    <row r="34" spans="3:18" ht="15" thickBot="1" x14ac:dyDescent="0.35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3:18" ht="15" thickBot="1" x14ac:dyDescent="0.35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3:18" x14ac:dyDescent="0.3">
      <c r="C36" s="20" t="s">
        <v>1</v>
      </c>
      <c r="D36" s="28" t="s">
        <v>51</v>
      </c>
      <c r="E36" s="1" cm="1">
        <f t="array" ref="E36:M44">+MINVERSE(_xlfn.MUNIT(COUNTA($D$36:$D$44))-E21:M29)</f>
        <v>1.3027568716865603</v>
      </c>
      <c r="F36" s="2">
        <v>0.26496923308729264</v>
      </c>
      <c r="G36" s="2">
        <v>0.40191273146184642</v>
      </c>
      <c r="H36" s="2">
        <v>0.19390838752127429</v>
      </c>
      <c r="I36" s="2">
        <v>0.22273243208912391</v>
      </c>
      <c r="J36" s="2">
        <v>0.29846735121960122</v>
      </c>
      <c r="K36" s="2">
        <v>0.19983424190063809</v>
      </c>
      <c r="L36" s="2">
        <v>0.30117487151359262</v>
      </c>
      <c r="M36" s="3">
        <v>0.2527746302988938</v>
      </c>
      <c r="N36" s="16"/>
    </row>
    <row r="37" spans="3:18" x14ac:dyDescent="0.3">
      <c r="C37" s="20" t="s">
        <v>1</v>
      </c>
      <c r="D37" s="25" t="s">
        <v>52</v>
      </c>
      <c r="E37" s="5">
        <v>0.36702113520289958</v>
      </c>
      <c r="F37" s="6">
        <v>1.3192653290989846</v>
      </c>
      <c r="G37" s="6">
        <v>0.48197515067611513</v>
      </c>
      <c r="H37" s="6">
        <v>0.30596679643950198</v>
      </c>
      <c r="I37" s="6">
        <v>0.33561726662884733</v>
      </c>
      <c r="J37" s="6">
        <v>0.40612056864098572</v>
      </c>
      <c r="K37" s="6">
        <v>0.2533358116094076</v>
      </c>
      <c r="L37" s="6">
        <v>0.35376660258120118</v>
      </c>
      <c r="M37" s="7">
        <v>0.41421485924610191</v>
      </c>
      <c r="N37" s="16"/>
    </row>
    <row r="38" spans="3:18" x14ac:dyDescent="0.3">
      <c r="C38" s="20" t="s">
        <v>1</v>
      </c>
      <c r="D38" s="25" t="s">
        <v>53</v>
      </c>
      <c r="E38" s="5">
        <v>0.21324552759050291</v>
      </c>
      <c r="F38" s="6">
        <v>0.20143185811758554</v>
      </c>
      <c r="G38" s="6">
        <v>1.2436344552453809</v>
      </c>
      <c r="H38" s="6">
        <v>0.26959482560236658</v>
      </c>
      <c r="I38" s="6">
        <v>0.31056091386314383</v>
      </c>
      <c r="J38" s="6">
        <v>0.23404235041534033</v>
      </c>
      <c r="K38" s="6">
        <v>0.25100491136022285</v>
      </c>
      <c r="L38" s="6">
        <v>0.26223516049835482</v>
      </c>
      <c r="M38" s="7">
        <v>0.34110115845243294</v>
      </c>
      <c r="N38" s="16"/>
    </row>
    <row r="39" spans="3:18" x14ac:dyDescent="0.3">
      <c r="C39" s="20" t="s">
        <v>10</v>
      </c>
      <c r="D39" s="25" t="str">
        <f>+D36</f>
        <v>Agr</v>
      </c>
      <c r="E39" s="5">
        <v>0.53616295356901755</v>
      </c>
      <c r="F39" s="6">
        <v>0.50910546594298112</v>
      </c>
      <c r="G39" s="6">
        <v>0.60747432909047872</v>
      </c>
      <c r="H39" s="6">
        <v>1.4729858632404746</v>
      </c>
      <c r="I39" s="6">
        <v>0.6630455070365594</v>
      </c>
      <c r="J39" s="6">
        <v>0.53110646236677117</v>
      </c>
      <c r="K39" s="6">
        <v>0.48305850574939302</v>
      </c>
      <c r="L39" s="6">
        <v>0.57910790284789226</v>
      </c>
      <c r="M39" s="7">
        <v>0.62953780136721482</v>
      </c>
      <c r="N39" s="16"/>
    </row>
    <row r="40" spans="3:18" x14ac:dyDescent="0.3">
      <c r="C40" s="20" t="s">
        <v>10</v>
      </c>
      <c r="D40" s="25" t="str">
        <f t="shared" ref="D40:D44" si="9">+D37</f>
        <v>Ind</v>
      </c>
      <c r="E40" s="5">
        <v>0.32288468080711646</v>
      </c>
      <c r="F40" s="6">
        <v>0.29622226529329559</v>
      </c>
      <c r="G40" s="6">
        <v>0.38540124245072271</v>
      </c>
      <c r="H40" s="6">
        <v>0.32775696976561003</v>
      </c>
      <c r="I40" s="6">
        <v>1.446734892120628</v>
      </c>
      <c r="J40" s="6">
        <v>0.31344804291371492</v>
      </c>
      <c r="K40" s="6">
        <v>0.34824399333881151</v>
      </c>
      <c r="L40" s="6">
        <v>0.30880016669328997</v>
      </c>
      <c r="M40" s="7">
        <v>0.45272923839931983</v>
      </c>
      <c r="N40" s="16"/>
    </row>
    <row r="41" spans="3:18" x14ac:dyDescent="0.3">
      <c r="C41" s="20" t="s">
        <v>10</v>
      </c>
      <c r="D41" s="25" t="str">
        <f t="shared" si="9"/>
        <v>Serv</v>
      </c>
      <c r="E41" s="5">
        <v>0.28267259501636494</v>
      </c>
      <c r="F41" s="6">
        <v>0.27272717758556231</v>
      </c>
      <c r="G41" s="6">
        <v>0.32030009620040639</v>
      </c>
      <c r="H41" s="6">
        <v>0.2199598731045132</v>
      </c>
      <c r="I41" s="6">
        <v>0.38677347638066717</v>
      </c>
      <c r="J41" s="6">
        <v>1.2285220367336596</v>
      </c>
      <c r="K41" s="6">
        <v>0.20355136120013523</v>
      </c>
      <c r="L41" s="6">
        <v>0.29455354701318132</v>
      </c>
      <c r="M41" s="7">
        <v>0.27597932297998545</v>
      </c>
      <c r="N41" s="16"/>
    </row>
    <row r="42" spans="3:18" x14ac:dyDescent="0.3">
      <c r="C42" s="20" t="s">
        <v>11</v>
      </c>
      <c r="D42" s="25" t="str">
        <f t="shared" si="9"/>
        <v>Agr</v>
      </c>
      <c r="E42" s="5">
        <v>0.43310443864610476</v>
      </c>
      <c r="F42" s="6">
        <v>0.53569031853914451</v>
      </c>
      <c r="G42" s="6">
        <v>0.62274780836300503</v>
      </c>
      <c r="H42" s="6">
        <v>0.46671246362879476</v>
      </c>
      <c r="I42" s="6">
        <v>0.61568325117706035</v>
      </c>
      <c r="J42" s="6">
        <v>0.38359314325822436</v>
      </c>
      <c r="K42" s="6">
        <v>1.4292366233456542</v>
      </c>
      <c r="L42" s="6">
        <v>0.53827648188229427</v>
      </c>
      <c r="M42" s="7">
        <v>0.58799426814855293</v>
      </c>
      <c r="N42" s="16"/>
    </row>
    <row r="43" spans="3:18" x14ac:dyDescent="0.3">
      <c r="C43" s="20" t="s">
        <v>11</v>
      </c>
      <c r="D43" s="25" t="str">
        <f t="shared" si="9"/>
        <v>Ind</v>
      </c>
      <c r="E43" s="5">
        <v>0.23801996544399315</v>
      </c>
      <c r="F43" s="6">
        <v>0.35676789712367457</v>
      </c>
      <c r="G43" s="6">
        <v>0.28672754857274263</v>
      </c>
      <c r="H43" s="6">
        <v>0.30865225029798954</v>
      </c>
      <c r="I43" s="6">
        <v>0.24837731785436237</v>
      </c>
      <c r="J43" s="6">
        <v>0.2276321126125388</v>
      </c>
      <c r="K43" s="6">
        <v>0.28207177208339312</v>
      </c>
      <c r="L43" s="6">
        <v>1.3833411765283214</v>
      </c>
      <c r="M43" s="7">
        <v>0.28299867783589666</v>
      </c>
      <c r="N43" s="16"/>
    </row>
    <row r="44" spans="3:18" x14ac:dyDescent="0.3">
      <c r="C44" s="20" t="s">
        <v>11</v>
      </c>
      <c r="D44" s="25" t="str">
        <f t="shared" si="9"/>
        <v>Serv</v>
      </c>
      <c r="E44" s="9">
        <v>0.33536799239956683</v>
      </c>
      <c r="F44" s="10">
        <v>0.22886178506420257</v>
      </c>
      <c r="G44" s="10">
        <v>0.32579503560475798</v>
      </c>
      <c r="H44" s="10">
        <v>0.29916470003939988</v>
      </c>
      <c r="I44" s="10">
        <v>0.24610179468437121</v>
      </c>
      <c r="J44" s="10">
        <v>0.20077112205228267</v>
      </c>
      <c r="K44" s="10">
        <v>0.21446583118481122</v>
      </c>
      <c r="L44" s="10">
        <v>0.22388532518248258</v>
      </c>
      <c r="M44" s="11">
        <v>1.3486766081918329</v>
      </c>
      <c r="N44" s="16"/>
    </row>
    <row r="45" spans="3:18" ht="15" thickBot="1" x14ac:dyDescent="0.35"/>
    <row r="46" spans="3:18" ht="15" thickBot="1" x14ac:dyDescent="0.35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3:18" x14ac:dyDescent="0.3">
      <c r="C47" s="22" t="s">
        <v>1</v>
      </c>
      <c r="D47" s="28" t="s">
        <v>51</v>
      </c>
      <c r="E47" s="32"/>
      <c r="F47" s="35"/>
      <c r="G47" s="1"/>
      <c r="H47" s="84" cm="1">
        <f t="array" ref="H47:H55">+N5:N13</f>
        <v>30.145679753362558</v>
      </c>
      <c r="J47" s="22" t="s">
        <v>1</v>
      </c>
      <c r="K47" s="28" t="s">
        <v>51</v>
      </c>
      <c r="L47" s="32">
        <v>0</v>
      </c>
      <c r="M47" s="35">
        <f>1-L47%</f>
        <v>1</v>
      </c>
      <c r="N47" s="1" cm="1">
        <f t="array" ref="N47:N55">+_xlfn.ANCHORARRAY(O5)</f>
        <v>66.945679753362569</v>
      </c>
      <c r="O47" s="3" cm="1">
        <f t="array" ref="O47:O55">+_xlfn.ANCHORARRAY(O5)</f>
        <v>66.945679753362569</v>
      </c>
      <c r="P47" s="18"/>
      <c r="Q47" s="18"/>
      <c r="R47" s="18"/>
    </row>
    <row r="48" spans="3:18" x14ac:dyDescent="0.3">
      <c r="C48" s="20" t="s">
        <v>1</v>
      </c>
      <c r="D48" s="25" t="s">
        <v>52</v>
      </c>
      <c r="E48" s="33"/>
      <c r="F48" s="35"/>
      <c r="G48" s="5"/>
      <c r="H48" s="87">
        <v>4.2693422093689577</v>
      </c>
      <c r="J48" s="20" t="s">
        <v>1</v>
      </c>
      <c r="K48" s="25" t="s">
        <v>52</v>
      </c>
      <c r="L48" s="33"/>
      <c r="M48" s="35">
        <f t="shared" ref="M48:M55" si="10">1-L48%</f>
        <v>1</v>
      </c>
      <c r="N48" s="5">
        <v>52.269342209368958</v>
      </c>
      <c r="O48" s="7">
        <v>52.269342209368958</v>
      </c>
      <c r="P48" s="18"/>
    </row>
    <row r="49" spans="1:16" x14ac:dyDescent="0.3">
      <c r="C49" s="20" t="s">
        <v>1</v>
      </c>
      <c r="D49" s="25" t="s">
        <v>53</v>
      </c>
      <c r="E49" s="33"/>
      <c r="F49" s="35"/>
      <c r="G49" s="5"/>
      <c r="H49" s="87">
        <v>11.666528797097115</v>
      </c>
      <c r="J49" s="20" t="s">
        <v>1</v>
      </c>
      <c r="K49" s="25" t="s">
        <v>53</v>
      </c>
      <c r="L49" s="33"/>
      <c r="M49" s="35">
        <f t="shared" si="10"/>
        <v>1</v>
      </c>
      <c r="N49" s="5">
        <v>44.666528797097115</v>
      </c>
      <c r="O49" s="7">
        <v>44.666528797097115</v>
      </c>
      <c r="P49" s="18"/>
    </row>
    <row r="50" spans="1:16" x14ac:dyDescent="0.3">
      <c r="C50" s="20" t="s">
        <v>10</v>
      </c>
      <c r="D50" s="25" t="str">
        <f>+D47</f>
        <v>Agr</v>
      </c>
      <c r="E50" s="33"/>
      <c r="F50" s="35"/>
      <c r="G50" s="5"/>
      <c r="H50" s="87">
        <v>5.9288374757864375</v>
      </c>
      <c r="J50" s="20" t="s">
        <v>10</v>
      </c>
      <c r="K50" s="25" t="str">
        <f>+K47</f>
        <v>Agr</v>
      </c>
      <c r="L50" s="33"/>
      <c r="M50" s="35">
        <f t="shared" si="10"/>
        <v>1</v>
      </c>
      <c r="N50" s="5">
        <v>77.928837475786437</v>
      </c>
      <c r="O50" s="7">
        <v>77.928837475786437</v>
      </c>
      <c r="P50" s="18"/>
    </row>
    <row r="51" spans="1:16" x14ac:dyDescent="0.3">
      <c r="C51" s="20" t="s">
        <v>10</v>
      </c>
      <c r="D51" s="25" t="str">
        <f t="shared" ref="D51:D55" si="11">+D48</f>
        <v>Ind</v>
      </c>
      <c r="E51" s="33"/>
      <c r="F51" s="35"/>
      <c r="G51" s="5"/>
      <c r="H51" s="87">
        <v>2.5175838266990382</v>
      </c>
      <c r="J51" s="20" t="s">
        <v>10</v>
      </c>
      <c r="K51" s="25" t="str">
        <f t="shared" ref="K51:K55" si="12">+K48</f>
        <v>Ind</v>
      </c>
      <c r="L51" s="33"/>
      <c r="M51" s="35">
        <f t="shared" si="10"/>
        <v>1</v>
      </c>
      <c r="N51" s="5">
        <v>47.517583826699038</v>
      </c>
      <c r="O51" s="7">
        <v>47.517583826699038</v>
      </c>
      <c r="P51" s="18"/>
    </row>
    <row r="52" spans="1:16" x14ac:dyDescent="0.3">
      <c r="C52" s="20" t="s">
        <v>10</v>
      </c>
      <c r="D52" s="25" t="str">
        <f t="shared" si="11"/>
        <v>Serv</v>
      </c>
      <c r="E52" s="33"/>
      <c r="F52" s="35"/>
      <c r="G52" s="5"/>
      <c r="H52" s="87">
        <v>17.269342209368943</v>
      </c>
      <c r="J52" s="20" t="s">
        <v>10</v>
      </c>
      <c r="K52" s="25" t="str">
        <f t="shared" si="12"/>
        <v>Serv</v>
      </c>
      <c r="L52" s="33"/>
      <c r="M52" s="35">
        <f t="shared" si="10"/>
        <v>1</v>
      </c>
      <c r="N52" s="5">
        <v>52.269342209368958</v>
      </c>
      <c r="O52" s="7">
        <v>52.269342209368958</v>
      </c>
      <c r="P52" s="18"/>
    </row>
    <row r="53" spans="1:16" x14ac:dyDescent="0.3">
      <c r="C53" s="20" t="s">
        <v>11</v>
      </c>
      <c r="D53" s="25" t="str">
        <f t="shared" si="11"/>
        <v>Agr</v>
      </c>
      <c r="E53" s="33"/>
      <c r="F53" s="35"/>
      <c r="G53" s="5"/>
      <c r="H53" s="87">
        <v>11.0777824461845</v>
      </c>
      <c r="J53" s="20" t="s">
        <v>11</v>
      </c>
      <c r="K53" s="25" t="str">
        <f t="shared" si="12"/>
        <v>Agr</v>
      </c>
      <c r="L53" s="33"/>
      <c r="M53" s="35">
        <f t="shared" si="10"/>
        <v>1</v>
      </c>
      <c r="N53" s="5">
        <v>75.0777824461845</v>
      </c>
      <c r="O53" s="7">
        <v>75.0777824461845</v>
      </c>
      <c r="P53" s="18"/>
    </row>
    <row r="54" spans="1:16" x14ac:dyDescent="0.3">
      <c r="C54" s="20" t="s">
        <v>11</v>
      </c>
      <c r="D54" s="25" t="str">
        <f t="shared" si="11"/>
        <v>Ind</v>
      </c>
      <c r="E54" s="33"/>
      <c r="F54" s="35"/>
      <c r="G54" s="5"/>
      <c r="H54" s="87">
        <v>24.772858974708754</v>
      </c>
      <c r="J54" s="20" t="s">
        <v>11</v>
      </c>
      <c r="K54" s="25" t="str">
        <f t="shared" si="12"/>
        <v>Ind</v>
      </c>
      <c r="L54" s="33"/>
      <c r="M54" s="35">
        <f t="shared" si="10"/>
        <v>1</v>
      </c>
      <c r="N54" s="5">
        <v>61.772858974708768</v>
      </c>
      <c r="O54" s="7">
        <v>61.772858974708768</v>
      </c>
      <c r="P54" s="18"/>
    </row>
    <row r="55" spans="1:16" x14ac:dyDescent="0.3">
      <c r="C55" s="20" t="s">
        <v>11</v>
      </c>
      <c r="D55" s="25" t="str">
        <f t="shared" si="11"/>
        <v>Serv</v>
      </c>
      <c r="E55" s="34"/>
      <c r="F55" s="35"/>
      <c r="G55" s="9"/>
      <c r="H55" s="90">
        <v>21.021100592038863</v>
      </c>
      <c r="J55" s="20" t="s">
        <v>11</v>
      </c>
      <c r="K55" s="25" t="str">
        <f t="shared" si="12"/>
        <v>Serv</v>
      </c>
      <c r="L55" s="34"/>
      <c r="M55" s="35">
        <f t="shared" si="10"/>
        <v>1</v>
      </c>
      <c r="N55" s="9">
        <v>57.021100592038856</v>
      </c>
      <c r="O55" s="11">
        <v>57.021100592038856</v>
      </c>
      <c r="P55" s="18"/>
    </row>
    <row r="56" spans="1:16" x14ac:dyDescent="0.3">
      <c r="G56" s="13">
        <f t="shared" ref="G56:H56" si="13">SUM(G47:G55)</f>
        <v>0</v>
      </c>
      <c r="H56" s="15">
        <f t="shared" si="13"/>
        <v>128.66905628461518</v>
      </c>
      <c r="N56" s="13">
        <f t="shared" ref="N56:O56" si="14">SUM(N47:N55)</f>
        <v>535.46905628461525</v>
      </c>
      <c r="O56" s="15">
        <f t="shared" si="14"/>
        <v>535.46905628461525</v>
      </c>
    </row>
    <row r="58" spans="1:16" x14ac:dyDescent="0.3">
      <c r="A58" s="66"/>
    </row>
    <row r="59" spans="1:16" x14ac:dyDescent="0.3">
      <c r="A59" s="68" t="s">
        <v>30</v>
      </c>
      <c r="E59" s="20" t="s">
        <v>20</v>
      </c>
      <c r="F59" s="20" t="s">
        <v>19</v>
      </c>
      <c r="G59" s="20" t="s">
        <v>3</v>
      </c>
    </row>
    <row r="60" spans="1:16" x14ac:dyDescent="0.3">
      <c r="A60" s="67"/>
      <c r="C60" s="20" t="s">
        <v>1</v>
      </c>
      <c r="D60" s="28" t="s">
        <v>51</v>
      </c>
      <c r="E60" s="91" cm="1">
        <f t="array" ref="E60:E68">+'IO_sub_model (4)'!F188:F196</f>
        <v>67.410989010989013</v>
      </c>
      <c r="F60" s="133" cm="1">
        <f t="array" ref="F60:F68">+_xlfn.ANCHORARRAY(O5)</f>
        <v>66.945679753362569</v>
      </c>
      <c r="G60" s="94">
        <f>+MIN(F60/E60,1)</f>
        <v>0.9930974272228732</v>
      </c>
      <c r="H60" s="18"/>
    </row>
    <row r="61" spans="1:16" x14ac:dyDescent="0.3">
      <c r="C61" s="20" t="s">
        <v>1</v>
      </c>
      <c r="D61" s="25" t="s">
        <v>52</v>
      </c>
      <c r="E61" s="92">
        <v>52.219780219780219</v>
      </c>
      <c r="F61" s="134">
        <v>52.269342209368958</v>
      </c>
      <c r="G61" s="95">
        <f t="shared" ref="G61:G68" si="15">+MIN(F61/E61,1)</f>
        <v>1</v>
      </c>
      <c r="H61" s="18"/>
    </row>
    <row r="62" spans="1:16" x14ac:dyDescent="0.3">
      <c r="C62" s="20" t="s">
        <v>1</v>
      </c>
      <c r="D62" s="25" t="s">
        <v>53</v>
      </c>
      <c r="E62" s="92">
        <v>44.624175824175829</v>
      </c>
      <c r="F62" s="134">
        <v>44.666528797097115</v>
      </c>
      <c r="G62" s="95">
        <f t="shared" si="15"/>
        <v>1</v>
      </c>
      <c r="H62" s="18"/>
    </row>
    <row r="63" spans="1:16" x14ac:dyDescent="0.3">
      <c r="C63" s="20" t="s">
        <v>10</v>
      </c>
      <c r="D63" s="25" t="str">
        <f>+D60</f>
        <v>Agr</v>
      </c>
      <c r="E63" s="92">
        <v>77.85494505494502</v>
      </c>
      <c r="F63" s="134">
        <v>77.928837475786437</v>
      </c>
      <c r="G63" s="95">
        <f t="shared" si="15"/>
        <v>1</v>
      </c>
      <c r="H63" s="18"/>
    </row>
    <row r="64" spans="1:16" x14ac:dyDescent="0.3">
      <c r="C64" s="20" t="s">
        <v>10</v>
      </c>
      <c r="D64" s="25" t="str">
        <f t="shared" ref="D64:D68" si="16">+D61</f>
        <v>Ind</v>
      </c>
      <c r="E64" s="92">
        <v>47.472527472527467</v>
      </c>
      <c r="F64" s="134">
        <v>47.517583826699038</v>
      </c>
      <c r="G64" s="95">
        <f t="shared" si="15"/>
        <v>1</v>
      </c>
      <c r="H64" s="18"/>
    </row>
    <row r="65" spans="1:13" x14ac:dyDescent="0.3">
      <c r="C65" s="20" t="s">
        <v>10</v>
      </c>
      <c r="D65" s="25" t="str">
        <f t="shared" si="16"/>
        <v>Serv</v>
      </c>
      <c r="E65" s="92">
        <v>52.219780219780233</v>
      </c>
      <c r="F65" s="134">
        <v>52.269342209368958</v>
      </c>
      <c r="G65" s="95">
        <f t="shared" si="15"/>
        <v>1</v>
      </c>
      <c r="H65" s="18"/>
    </row>
    <row r="66" spans="1:13" x14ac:dyDescent="0.3">
      <c r="C66" s="20" t="s">
        <v>11</v>
      </c>
      <c r="D66" s="25" t="str">
        <f t="shared" si="16"/>
        <v>Agr</v>
      </c>
      <c r="E66" s="92">
        <v>75.00659340659341</v>
      </c>
      <c r="F66" s="134">
        <v>75.0777824461845</v>
      </c>
      <c r="G66" s="95">
        <f t="shared" si="15"/>
        <v>1</v>
      </c>
      <c r="H66" s="18"/>
    </row>
    <row r="67" spans="1:13" x14ac:dyDescent="0.3">
      <c r="C67" s="20" t="s">
        <v>11</v>
      </c>
      <c r="D67" s="25" t="str">
        <f t="shared" si="16"/>
        <v>Ind</v>
      </c>
      <c r="E67" s="92">
        <v>61.714285714285701</v>
      </c>
      <c r="F67" s="134">
        <v>61.772858974708768</v>
      </c>
      <c r="G67" s="95">
        <f t="shared" si="15"/>
        <v>1</v>
      </c>
      <c r="H67" s="18"/>
    </row>
    <row r="68" spans="1:13" x14ac:dyDescent="0.3">
      <c r="C68" s="20" t="s">
        <v>11</v>
      </c>
      <c r="D68" s="25" t="str">
        <f t="shared" si="16"/>
        <v>Serv</v>
      </c>
      <c r="E68" s="93">
        <v>56.967032967032992</v>
      </c>
      <c r="F68" s="135">
        <v>57.021100592038856</v>
      </c>
      <c r="G68" s="96">
        <f t="shared" si="15"/>
        <v>1</v>
      </c>
      <c r="H68" s="18"/>
    </row>
    <row r="69" spans="1:13" x14ac:dyDescent="0.3">
      <c r="A69" s="66"/>
    </row>
    <row r="70" spans="1:13" x14ac:dyDescent="0.3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13" x14ac:dyDescent="0.3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13" x14ac:dyDescent="0.3">
      <c r="C72" t="s">
        <v>25</v>
      </c>
      <c r="D72" s="20" t="s">
        <v>4</v>
      </c>
      <c r="E72" s="43" cm="1">
        <f t="array" ref="E72">+MIN(_xlfn._xlws.FILTER($G$60:$G$68,E21:E29&gt;0))</f>
        <v>0.9930974272228732</v>
      </c>
      <c r="F72" s="44" cm="1">
        <f t="array" ref="F72">+MIN(_xlfn._xlws.FILTER($G$60:$G$68,F21:F29&gt;0))</f>
        <v>0.9930974272228732</v>
      </c>
      <c r="G72" s="44" cm="1">
        <f t="array" ref="G72">+MIN(_xlfn._xlws.FILTER($G$60:$G$68,G21:G29&gt;0))</f>
        <v>0.9930974272228732</v>
      </c>
      <c r="H72" s="44" cm="1">
        <f t="array" ref="H72">+MIN(_xlfn._xlws.FILTER($G$60:$G$68,H21:H29&gt;0))</f>
        <v>0.9930974272228732</v>
      </c>
      <c r="I72" s="44" cm="1">
        <f t="array" ref="I72">+MIN(_xlfn._xlws.FILTER($G$60:$G$68,I21:I29&gt;0))</f>
        <v>0.9930974272228732</v>
      </c>
      <c r="J72" s="44" cm="1">
        <f t="array" ref="J72">+MIN(_xlfn._xlws.FILTER($G$60:$G$68,J21:J29&gt;0))</f>
        <v>0.9930974272228732</v>
      </c>
      <c r="K72" s="44" cm="1">
        <f t="array" ref="K72">+MIN(_xlfn._xlws.FILTER($G$60:$G$68,K21:K29&gt;0))</f>
        <v>0.9930974272228732</v>
      </c>
      <c r="L72" s="44" cm="1">
        <f t="array" ref="L72">+MIN(_xlfn._xlws.FILTER($G$60:$G$68,L21:L29&gt;0))</f>
        <v>0.9930974272228732</v>
      </c>
      <c r="M72" s="45" cm="1">
        <f t="array" ref="M72">+MIN(_xlfn._xlws.FILTER($G$60:$G$68,M21:M29&gt;0))</f>
        <v>0.9930974272228732</v>
      </c>
    </row>
    <row r="73" spans="1:13" ht="15" thickBot="1" x14ac:dyDescent="0.35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13" x14ac:dyDescent="0.3">
      <c r="D74" s="22" t="s">
        <v>22</v>
      </c>
      <c r="E74" s="46">
        <f>+MIN(E72:E73)</f>
        <v>0.9930974272228732</v>
      </c>
      <c r="F74" s="47">
        <f t="shared" ref="F74:M74" si="17">+MIN(F72:F73)</f>
        <v>0.9930974272228732</v>
      </c>
      <c r="G74" s="47">
        <f t="shared" si="17"/>
        <v>0.9930974272228732</v>
      </c>
      <c r="H74" s="47">
        <f t="shared" si="17"/>
        <v>0.9930974272228732</v>
      </c>
      <c r="I74" s="47">
        <f t="shared" si="17"/>
        <v>0.9930974272228732</v>
      </c>
      <c r="J74" s="47">
        <f t="shared" si="17"/>
        <v>0.9930974272228732</v>
      </c>
      <c r="K74" s="47">
        <f t="shared" si="17"/>
        <v>0.9930974272228732</v>
      </c>
      <c r="L74" s="47">
        <f t="shared" si="17"/>
        <v>0.9930974272228732</v>
      </c>
      <c r="M74" s="48">
        <f t="shared" si="17"/>
        <v>0.9930974272228732</v>
      </c>
    </row>
    <row r="75" spans="1:13" x14ac:dyDescent="0.3">
      <c r="A75" s="66"/>
    </row>
    <row r="76" spans="1:13" ht="15" thickBot="1" x14ac:dyDescent="0.35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13" ht="15" thickBot="1" x14ac:dyDescent="0.35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13" x14ac:dyDescent="0.3">
      <c r="B78" s="63" cm="1">
        <f t="array" ref="B78:B86">+TRANSPOSE(E74:M74)</f>
        <v>0.9930974272228732</v>
      </c>
      <c r="C78" s="20" t="s">
        <v>1</v>
      </c>
      <c r="D78" s="28" t="s">
        <v>51</v>
      </c>
      <c r="E78" s="1">
        <f>+E5*$B78</f>
        <v>7.5447626133851813</v>
      </c>
      <c r="F78" s="2">
        <f t="shared" ref="F78:M78" si="18">+F5*$B78</f>
        <v>3.9807746626060103</v>
      </c>
      <c r="G78" s="2">
        <f t="shared" si="18"/>
        <v>7.5794485453520695</v>
      </c>
      <c r="H78" s="2">
        <f t="shared" si="18"/>
        <v>1.0721166068645007</v>
      </c>
      <c r="I78" s="2">
        <f t="shared" si="18"/>
        <v>0.42455642206661265</v>
      </c>
      <c r="J78" s="2">
        <f t="shared" si="18"/>
        <v>6.0508221436196576</v>
      </c>
      <c r="K78" s="2">
        <f t="shared" si="18"/>
        <v>2.5582873663902519</v>
      </c>
      <c r="L78" s="2">
        <f t="shared" si="18"/>
        <v>5.509401064338423</v>
      </c>
      <c r="M78" s="3">
        <f t="shared" si="18"/>
        <v>1.8258158971790408</v>
      </c>
    </row>
    <row r="79" spans="1:13" x14ac:dyDescent="0.3">
      <c r="B79" s="30">
        <v>0.9930974272228732</v>
      </c>
      <c r="C79" s="20" t="s">
        <v>1</v>
      </c>
      <c r="D79" s="25" t="s">
        <v>52</v>
      </c>
      <c r="E79" s="5">
        <f t="shared" ref="E79:M86" si="19">+E6*$B79</f>
        <v>7.071417841395208</v>
      </c>
      <c r="F79" s="6">
        <f t="shared" si="19"/>
        <v>3.7400601336853545</v>
      </c>
      <c r="G79" s="6">
        <f t="shared" si="19"/>
        <v>7.7680995447261507</v>
      </c>
      <c r="H79" s="6">
        <f t="shared" si="19"/>
        <v>4.8837299677504236</v>
      </c>
      <c r="I79" s="6">
        <f t="shared" si="19"/>
        <v>1.9707157071833736</v>
      </c>
      <c r="J79" s="6">
        <f t="shared" si="19"/>
        <v>8.6569555441424821</v>
      </c>
      <c r="K79" s="6">
        <f t="shared" si="19"/>
        <v>2.309754809883962</v>
      </c>
      <c r="L79" s="6">
        <f t="shared" si="19"/>
        <v>4.8683386107081708</v>
      </c>
      <c r="M79" s="7">
        <f t="shared" si="19"/>
        <v>6.3996043472227875</v>
      </c>
    </row>
    <row r="80" spans="1:13" x14ac:dyDescent="0.3">
      <c r="B80" s="30">
        <v>0.9930974272228732</v>
      </c>
      <c r="C80" s="20" t="s">
        <v>1</v>
      </c>
      <c r="D80" s="25" t="s">
        <v>53</v>
      </c>
      <c r="E80" s="5">
        <f t="shared" si="19"/>
        <v>1.3784323975571549</v>
      </c>
      <c r="F80" s="6">
        <f t="shared" si="19"/>
        <v>0.63021813855299358</v>
      </c>
      <c r="G80" s="6">
        <f t="shared" si="19"/>
        <v>0.72024930120342168</v>
      </c>
      <c r="H80" s="6">
        <f t="shared" si="19"/>
        <v>6.5992664644628558</v>
      </c>
      <c r="I80" s="6">
        <f t="shared" si="19"/>
        <v>4.015379706887078</v>
      </c>
      <c r="J80" s="6">
        <f t="shared" si="19"/>
        <v>3.385161568334083</v>
      </c>
      <c r="K80" s="6">
        <f t="shared" si="19"/>
        <v>5.9690483259098599</v>
      </c>
      <c r="L80" s="6">
        <f t="shared" si="19"/>
        <v>3.7452862189357949</v>
      </c>
      <c r="M80" s="7">
        <f t="shared" si="19"/>
        <v>6.329172976511571</v>
      </c>
    </row>
    <row r="81" spans="1:14" x14ac:dyDescent="0.3">
      <c r="B81" s="30">
        <v>0.9930974272228732</v>
      </c>
      <c r="C81" s="20" t="s">
        <v>10</v>
      </c>
      <c r="D81" s="25" t="str">
        <f>+D78</f>
        <v>Agr</v>
      </c>
      <c r="E81" s="5">
        <f t="shared" si="19"/>
        <v>8.7945894336770447</v>
      </c>
      <c r="F81" s="6">
        <f t="shared" si="19"/>
        <v>5.7937276774860749</v>
      </c>
      <c r="G81" s="6">
        <f t="shared" si="19"/>
        <v>5.3062349730728648</v>
      </c>
      <c r="H81" s="6">
        <f t="shared" si="19"/>
        <v>6.8805885581598325</v>
      </c>
      <c r="I81" s="6">
        <f t="shared" si="19"/>
        <v>9.3499459180254707</v>
      </c>
      <c r="J81" s="6">
        <f t="shared" si="19"/>
        <v>8.3030758543755905</v>
      </c>
      <c r="K81" s="6">
        <f t="shared" si="19"/>
        <v>9.3499459180254707</v>
      </c>
      <c r="L81" s="6">
        <f t="shared" si="19"/>
        <v>9.198079629154261</v>
      </c>
      <c r="M81" s="7">
        <f t="shared" si="19"/>
        <v>8.5268267980702586</v>
      </c>
    </row>
    <row r="82" spans="1:14" x14ac:dyDescent="0.3">
      <c r="B82" s="30">
        <v>0.9930974272228732</v>
      </c>
      <c r="C82" s="20" t="s">
        <v>10</v>
      </c>
      <c r="D82" s="25" t="str">
        <f t="shared" ref="D82:D86" si="20">+D79</f>
        <v>Ind</v>
      </c>
      <c r="E82" s="5">
        <f t="shared" si="19"/>
        <v>4.0041284075568644</v>
      </c>
      <c r="F82" s="6">
        <f t="shared" si="19"/>
        <v>2.2485556593745444</v>
      </c>
      <c r="G82" s="6">
        <f t="shared" si="19"/>
        <v>3.1014220241936359</v>
      </c>
      <c r="H82" s="6">
        <f t="shared" si="19"/>
        <v>6.0219030718084854</v>
      </c>
      <c r="I82" s="6">
        <f t="shared" si="19"/>
        <v>6.5490756787857585</v>
      </c>
      <c r="J82" s="6">
        <f t="shared" si="19"/>
        <v>4.0628529749600002</v>
      </c>
      <c r="K82" s="6">
        <f t="shared" si="19"/>
        <v>8.6528785568972744</v>
      </c>
      <c r="L82" s="6">
        <f t="shared" si="19"/>
        <v>2.3571202453218176</v>
      </c>
      <c r="M82" s="7">
        <f t="shared" si="19"/>
        <v>7.6914476061309101</v>
      </c>
    </row>
    <row r="83" spans="1:14" x14ac:dyDescent="0.3">
      <c r="B83" s="30">
        <v>0.9930974272228732</v>
      </c>
      <c r="C83" s="20" t="s">
        <v>10</v>
      </c>
      <c r="D83" s="25" t="str">
        <f t="shared" si="20"/>
        <v>Serv</v>
      </c>
      <c r="E83" s="5">
        <f t="shared" si="19"/>
        <v>5.7294356436321401</v>
      </c>
      <c r="F83" s="6">
        <f t="shared" si="19"/>
        <v>4.2246314177925735</v>
      </c>
      <c r="G83" s="6">
        <f t="shared" si="19"/>
        <v>3.6088753664351478</v>
      </c>
      <c r="H83" s="6">
        <f t="shared" si="19"/>
        <v>2.4300203896160477</v>
      </c>
      <c r="I83" s="6">
        <f t="shared" si="19"/>
        <v>7.6425315907268132</v>
      </c>
      <c r="J83" s="6">
        <f t="shared" si="19"/>
        <v>1.9954128767184811</v>
      </c>
      <c r="K83" s="6">
        <f t="shared" si="19"/>
        <v>1.7616072123628703</v>
      </c>
      <c r="L83" s="6">
        <f t="shared" si="19"/>
        <v>5.2223378561518157</v>
      </c>
      <c r="M83" s="7">
        <f t="shared" si="19"/>
        <v>2.1435575993646858</v>
      </c>
    </row>
    <row r="84" spans="1:14" x14ac:dyDescent="0.3">
      <c r="B84" s="30">
        <v>0.9930974272228732</v>
      </c>
      <c r="C84" s="20" t="s">
        <v>11</v>
      </c>
      <c r="D84" s="25" t="str">
        <f t="shared" si="20"/>
        <v>Agr</v>
      </c>
      <c r="E84" s="5">
        <f t="shared" si="19"/>
        <v>4.2611945893957515</v>
      </c>
      <c r="F84" s="6">
        <f t="shared" si="19"/>
        <v>9.1013337583647296</v>
      </c>
      <c r="G84" s="6">
        <f t="shared" si="19"/>
        <v>7.8777361898775657</v>
      </c>
      <c r="H84" s="6">
        <f t="shared" si="19"/>
        <v>8.0917555186639607</v>
      </c>
      <c r="I84" s="6">
        <f t="shared" si="19"/>
        <v>9.1013337583647278</v>
      </c>
      <c r="J84" s="6">
        <f t="shared" si="19"/>
        <v>1.6905626856930445</v>
      </c>
      <c r="K84" s="6">
        <f t="shared" si="19"/>
        <v>6.9676028140410917</v>
      </c>
      <c r="L84" s="6">
        <f t="shared" si="19"/>
        <v>8.8873144295783337</v>
      </c>
      <c r="M84" s="7">
        <f t="shared" si="19"/>
        <v>7.579401598284675</v>
      </c>
    </row>
    <row r="85" spans="1:14" x14ac:dyDescent="0.3">
      <c r="B85" s="30">
        <v>0.9930974272228732</v>
      </c>
      <c r="C85" s="20" t="s">
        <v>11</v>
      </c>
      <c r="D85" s="25" t="str">
        <f t="shared" si="20"/>
        <v>Ind</v>
      </c>
      <c r="E85" s="5">
        <f t="shared" si="19"/>
        <v>1.7761257375180963</v>
      </c>
      <c r="F85" s="6">
        <f t="shared" si="19"/>
        <v>6.9281612683293616</v>
      </c>
      <c r="G85" s="6">
        <f t="shared" si="19"/>
        <v>1.0536572569779963</v>
      </c>
      <c r="H85" s="6">
        <f t="shared" si="19"/>
        <v>7.9727334347792436</v>
      </c>
      <c r="I85" s="6">
        <f t="shared" si="19"/>
        <v>0.42259273345420439</v>
      </c>
      <c r="J85" s="6">
        <f t="shared" si="19"/>
        <v>1.1905667777782611</v>
      </c>
      <c r="K85" s="6">
        <f t="shared" si="19"/>
        <v>6.9221348720654365</v>
      </c>
      <c r="L85" s="6">
        <f t="shared" si="19"/>
        <v>8.6721129118337164</v>
      </c>
      <c r="M85" s="7">
        <f t="shared" si="19"/>
        <v>1.8065198145100139</v>
      </c>
    </row>
    <row r="86" spans="1:14" x14ac:dyDescent="0.3">
      <c r="B86" s="31">
        <v>0.9930974272228732</v>
      </c>
      <c r="C86" s="20" t="s">
        <v>11</v>
      </c>
      <c r="D86" s="25" t="str">
        <f t="shared" si="20"/>
        <v>Serv</v>
      </c>
      <c r="E86" s="9">
        <f t="shared" si="19"/>
        <v>8.6161809147775106</v>
      </c>
      <c r="F86" s="10">
        <f t="shared" si="19"/>
        <v>2.1099979928190238</v>
      </c>
      <c r="G86" s="10">
        <f t="shared" si="19"/>
        <v>3.6307011028352498</v>
      </c>
      <c r="H86" s="10">
        <f t="shared" si="19"/>
        <v>8.8803211294871947</v>
      </c>
      <c r="I86" s="10">
        <f t="shared" si="19"/>
        <v>1.2768055794060635</v>
      </c>
      <c r="J86" s="10">
        <f t="shared" si="19"/>
        <v>0.58929488280279896</v>
      </c>
      <c r="K86" s="10">
        <f t="shared" si="19"/>
        <v>3.2141048961287693</v>
      </c>
      <c r="L86" s="10">
        <f t="shared" si="19"/>
        <v>0.982158138004665</v>
      </c>
      <c r="M86" s="11">
        <f t="shared" si="19"/>
        <v>6.4519427437621548</v>
      </c>
    </row>
    <row r="87" spans="1:14" x14ac:dyDescent="0.3">
      <c r="N87" s="19">
        <f>+SUM(E78:M86)</f>
        <v>403.99203339426481</v>
      </c>
    </row>
    <row r="88" spans="1:14" x14ac:dyDescent="0.3">
      <c r="D88" s="20" t="str" cm="1">
        <f t="array" ref="D88:M89">+TRANSPOSE(E59:F68)</f>
        <v>x_md</v>
      </c>
      <c r="E88" s="43">
        <v>67.410989010989013</v>
      </c>
      <c r="F88" s="44">
        <v>52.219780219780219</v>
      </c>
      <c r="G88" s="44">
        <v>44.624175824175829</v>
      </c>
      <c r="H88" s="44">
        <v>77.85494505494502</v>
      </c>
      <c r="I88" s="44">
        <v>47.472527472527467</v>
      </c>
      <c r="J88" s="44">
        <v>52.219780219780233</v>
      </c>
      <c r="K88" s="44">
        <v>75.00659340659341</v>
      </c>
      <c r="L88" s="44">
        <v>61.714285714285701</v>
      </c>
      <c r="M88" s="45">
        <v>56.967032967032992</v>
      </c>
    </row>
    <row r="89" spans="1:14" ht="15" thickBot="1" x14ac:dyDescent="0.35">
      <c r="D89" s="49" t="str">
        <v>x_max</v>
      </c>
      <c r="E89" s="50">
        <v>66.945679753362569</v>
      </c>
      <c r="F89" s="51">
        <v>52.269342209368958</v>
      </c>
      <c r="G89" s="51">
        <v>44.666528797097115</v>
      </c>
      <c r="H89" s="51">
        <v>77.928837475786437</v>
      </c>
      <c r="I89" s="51">
        <v>47.517583826699038</v>
      </c>
      <c r="J89" s="51">
        <v>52.269342209368958</v>
      </c>
      <c r="K89" s="51">
        <v>75.0777824461845</v>
      </c>
      <c r="L89" s="51">
        <v>61.772858974708768</v>
      </c>
      <c r="M89" s="52">
        <v>57.021100592038856</v>
      </c>
    </row>
    <row r="90" spans="1:14" x14ac:dyDescent="0.3">
      <c r="D90" s="22"/>
      <c r="E90" s="46">
        <f>+MIN(E88:E89)</f>
        <v>66.945679753362569</v>
      </c>
      <c r="F90" s="47">
        <f t="shared" ref="F90:M90" si="21">+MIN(F88:F89)</f>
        <v>52.219780219780219</v>
      </c>
      <c r="G90" s="47">
        <f t="shared" si="21"/>
        <v>44.624175824175829</v>
      </c>
      <c r="H90" s="47">
        <f t="shared" si="21"/>
        <v>77.85494505494502</v>
      </c>
      <c r="I90" s="47">
        <f t="shared" si="21"/>
        <v>47.472527472527467</v>
      </c>
      <c r="J90" s="47">
        <f t="shared" si="21"/>
        <v>52.219780219780233</v>
      </c>
      <c r="K90" s="47">
        <f t="shared" si="21"/>
        <v>75.00659340659341</v>
      </c>
      <c r="L90" s="47">
        <f t="shared" si="21"/>
        <v>61.714285714285701</v>
      </c>
      <c r="M90" s="48">
        <f t="shared" si="21"/>
        <v>56.967032967032992</v>
      </c>
    </row>
    <row r="91" spans="1:14" x14ac:dyDescent="0.3">
      <c r="A91" s="66"/>
    </row>
    <row r="92" spans="1:14" ht="15" thickBot="1" x14ac:dyDescent="0.35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14" ht="15" thickBot="1" x14ac:dyDescent="0.35">
      <c r="A93" s="67"/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14" x14ac:dyDescent="0.3">
      <c r="C94" s="20" t="s">
        <v>1</v>
      </c>
      <c r="D94" s="28" t="s">
        <v>51</v>
      </c>
      <c r="E94" s="1">
        <f>+E21*E$88</f>
        <v>7.6500075931796729</v>
      </c>
      <c r="F94" s="2">
        <f t="shared" ref="F94:M94" si="22">+F21*F$88</f>
        <v>4.0046424125912985</v>
      </c>
      <c r="G94" s="2">
        <f t="shared" si="22"/>
        <v>7.6248930626230855</v>
      </c>
      <c r="H94" s="2">
        <f t="shared" si="22"/>
        <v>1.0785447554779077</v>
      </c>
      <c r="I94" s="2">
        <f t="shared" si="22"/>
        <v>0.42710195839945836</v>
      </c>
      <c r="J94" s="2">
        <f t="shared" si="22"/>
        <v>6.0871013913464873</v>
      </c>
      <c r="K94" s="2">
        <f t="shared" si="22"/>
        <v>2.5736262309145639</v>
      </c>
      <c r="L94" s="2">
        <f t="shared" si="22"/>
        <v>5.5424340838678994</v>
      </c>
      <c r="M94" s="3">
        <f t="shared" si="22"/>
        <v>1.8367630421562227</v>
      </c>
      <c r="N94" s="19"/>
    </row>
    <row r="95" spans="1:14" x14ac:dyDescent="0.3">
      <c r="C95" s="20" t="s">
        <v>1</v>
      </c>
      <c r="D95" s="25" t="s">
        <v>52</v>
      </c>
      <c r="E95" s="5">
        <f t="shared" ref="E95:M102" si="23">+E22*E$88</f>
        <v>7.1700599413488497</v>
      </c>
      <c r="F95" s="6">
        <f t="shared" si="23"/>
        <v>3.7624846183062224</v>
      </c>
      <c r="G95" s="6">
        <f t="shared" si="23"/>
        <v>7.8146751671887857</v>
      </c>
      <c r="H95" s="6">
        <f t="shared" si="23"/>
        <v>4.9130116166116071</v>
      </c>
      <c r="I95" s="6">
        <f t="shared" si="23"/>
        <v>1.9825316359353777</v>
      </c>
      <c r="J95" s="6">
        <f t="shared" si="23"/>
        <v>8.7088605294967891</v>
      </c>
      <c r="K95" s="6">
        <f t="shared" si="23"/>
        <v>2.323603534065084</v>
      </c>
      <c r="L95" s="6">
        <f t="shared" si="23"/>
        <v>4.8975279767618725</v>
      </c>
      <c r="M95" s="7">
        <f t="shared" si="23"/>
        <v>6.4379748076256638</v>
      </c>
      <c r="N95" s="19"/>
    </row>
    <row r="96" spans="1:14" x14ac:dyDescent="0.3">
      <c r="C96" s="20" t="s">
        <v>1</v>
      </c>
      <c r="D96" s="25" t="s">
        <v>53</v>
      </c>
      <c r="E96" s="5">
        <f t="shared" si="23"/>
        <v>1.397660714902965</v>
      </c>
      <c r="F96" s="6">
        <f t="shared" si="23"/>
        <v>0.63399677217133799</v>
      </c>
      <c r="G96" s="6">
        <f t="shared" si="23"/>
        <v>0.72456773962438681</v>
      </c>
      <c r="H96" s="6">
        <f t="shared" si="23"/>
        <v>6.638834050023446</v>
      </c>
      <c r="I96" s="6">
        <f t="shared" si="23"/>
        <v>4.0394549402431013</v>
      </c>
      <c r="J96" s="6">
        <f t="shared" si="23"/>
        <v>3.4054581680717626</v>
      </c>
      <c r="K96" s="6">
        <f t="shared" si="23"/>
        <v>6.0048372778521086</v>
      </c>
      <c r="L96" s="6">
        <f t="shared" si="23"/>
        <v>3.7677420378839557</v>
      </c>
      <c r="M96" s="7">
        <f t="shared" si="23"/>
        <v>6.3671211476643057</v>
      </c>
      <c r="N96" s="19"/>
    </row>
    <row r="97" spans="3:25" x14ac:dyDescent="0.3">
      <c r="C97" s="20" t="s">
        <v>10</v>
      </c>
      <c r="D97" s="25" t="str">
        <f>+D94</f>
        <v>Agr</v>
      </c>
      <c r="E97" s="5">
        <f t="shared" si="23"/>
        <v>8.9172687590154052</v>
      </c>
      <c r="F97" s="6">
        <f t="shared" si="23"/>
        <v>5.8284654497563997</v>
      </c>
      <c r="G97" s="6">
        <f t="shared" si="23"/>
        <v>5.3380498584744887</v>
      </c>
      <c r="H97" s="6">
        <f t="shared" si="23"/>
        <v>6.9218428820984501</v>
      </c>
      <c r="I97" s="6">
        <f t="shared" si="23"/>
        <v>9.4060059039482411</v>
      </c>
      <c r="J97" s="6">
        <f t="shared" si="23"/>
        <v>8.3528590637751901</v>
      </c>
      <c r="K97" s="6">
        <f t="shared" si="23"/>
        <v>9.4060059039482411</v>
      </c>
      <c r="L97" s="6">
        <f t="shared" si="23"/>
        <v>9.2532290620010098</v>
      </c>
      <c r="M97" s="7">
        <f t="shared" si="23"/>
        <v>8.5779515633316485</v>
      </c>
      <c r="N97" s="19"/>
    </row>
    <row r="98" spans="3:25" x14ac:dyDescent="0.3">
      <c r="C98" s="20" t="s">
        <v>10</v>
      </c>
      <c r="D98" s="25" t="str">
        <f t="shared" ref="D98:D102" si="24">+D95</f>
        <v>Ind</v>
      </c>
      <c r="E98" s="5">
        <f t="shared" si="23"/>
        <v>4.0599836325576133</v>
      </c>
      <c r="F98" s="6">
        <f t="shared" si="23"/>
        <v>2.2620374484368835</v>
      </c>
      <c r="G98" s="6">
        <f t="shared" si="23"/>
        <v>3.1200173911124618</v>
      </c>
      <c r="H98" s="6">
        <f t="shared" si="23"/>
        <v>6.0580089278630123</v>
      </c>
      <c r="I98" s="6">
        <f t="shared" si="23"/>
        <v>6.5883423326871551</v>
      </c>
      <c r="J98" s="6">
        <f t="shared" si="23"/>
        <v>4.087212846405186</v>
      </c>
      <c r="K98" s="6">
        <f t="shared" si="23"/>
        <v>8.7047590976345131</v>
      </c>
      <c r="L98" s="6">
        <f t="shared" si="23"/>
        <v>2.3712529610540294</v>
      </c>
      <c r="M98" s="7">
        <f t="shared" si="23"/>
        <v>7.7375636423417911</v>
      </c>
      <c r="N98" s="19"/>
    </row>
    <row r="99" spans="3:25" x14ac:dyDescent="0.3">
      <c r="C99" s="20" t="s">
        <v>10</v>
      </c>
      <c r="D99" s="25" t="str">
        <f t="shared" si="24"/>
        <v>Serv</v>
      </c>
      <c r="E99" s="5">
        <f t="shared" si="23"/>
        <v>5.8093578849864445</v>
      </c>
      <c r="F99" s="6">
        <f t="shared" si="23"/>
        <v>4.2499612731614427</v>
      </c>
      <c r="G99" s="6">
        <f t="shared" si="23"/>
        <v>3.6305132993187321</v>
      </c>
      <c r="H99" s="6">
        <f t="shared" si="23"/>
        <v>2.4445901967602022</v>
      </c>
      <c r="I99" s="6">
        <f t="shared" si="23"/>
        <v>7.6883543384888613</v>
      </c>
      <c r="J99" s="6">
        <f t="shared" si="23"/>
        <v>2.0073768836506809</v>
      </c>
      <c r="K99" s="6">
        <f t="shared" si="23"/>
        <v>1.7721693777905998</v>
      </c>
      <c r="L99" s="6">
        <f t="shared" si="23"/>
        <v>5.2536497149867838</v>
      </c>
      <c r="M99" s="7">
        <f t="shared" si="23"/>
        <v>2.1564098457732315</v>
      </c>
      <c r="N99" s="19"/>
    </row>
    <row r="100" spans="3:25" x14ac:dyDescent="0.3">
      <c r="C100" s="20" t="s">
        <v>11</v>
      </c>
      <c r="D100" s="25" t="str">
        <f t="shared" si="24"/>
        <v>Agr</v>
      </c>
      <c r="E100" s="5">
        <f t="shared" si="23"/>
        <v>4.3206357357170049</v>
      </c>
      <c r="F100" s="6">
        <f t="shared" si="23"/>
        <v>9.15590312666329</v>
      </c>
      <c r="G100" s="6">
        <f t="shared" si="23"/>
        <v>7.924969166814515</v>
      </c>
      <c r="H100" s="6">
        <f t="shared" si="23"/>
        <v>8.140271703082977</v>
      </c>
      <c r="I100" s="6">
        <f t="shared" si="23"/>
        <v>9.1559031266632882</v>
      </c>
      <c r="J100" s="6">
        <f t="shared" si="23"/>
        <v>1.7006988855376663</v>
      </c>
      <c r="K100" s="6">
        <f t="shared" si="23"/>
        <v>7.009378854148185</v>
      </c>
      <c r="L100" s="6">
        <f t="shared" si="23"/>
        <v>8.9406005903948209</v>
      </c>
      <c r="M100" s="7">
        <f t="shared" si="23"/>
        <v>7.6248458340725769</v>
      </c>
      <c r="N100" s="19"/>
    </row>
    <row r="101" spans="3:25" x14ac:dyDescent="0.3">
      <c r="C101" s="20" t="s">
        <v>11</v>
      </c>
      <c r="D101" s="25" t="str">
        <f t="shared" si="24"/>
        <v>Ind</v>
      </c>
      <c r="E101" s="5">
        <f t="shared" si="23"/>
        <v>1.8009016419350146</v>
      </c>
      <c r="F101" s="6">
        <f t="shared" si="23"/>
        <v>6.9697008265876015</v>
      </c>
      <c r="G101" s="6">
        <f t="shared" si="23"/>
        <v>1.059974727850179</v>
      </c>
      <c r="H101" s="6">
        <f t="shared" si="23"/>
        <v>8.020535991931796</v>
      </c>
      <c r="I101" s="6">
        <f t="shared" si="23"/>
        <v>0.42512649599103741</v>
      </c>
      <c r="J101" s="6">
        <f t="shared" si="23"/>
        <v>1.1977051246080215</v>
      </c>
      <c r="K101" s="6">
        <f t="shared" si="23"/>
        <v>6.9636382975275435</v>
      </c>
      <c r="L101" s="6">
        <f t="shared" si="23"/>
        <v>8.7241087770526562</v>
      </c>
      <c r="M101" s="7">
        <f t="shared" si="23"/>
        <v>1.8173512649011228</v>
      </c>
      <c r="N101" s="19"/>
    </row>
    <row r="102" spans="3:25" x14ac:dyDescent="0.3">
      <c r="C102" s="20" t="s">
        <v>11</v>
      </c>
      <c r="D102" s="25" t="str">
        <f t="shared" si="24"/>
        <v>Serv</v>
      </c>
      <c r="E102" s="9">
        <f t="shared" si="23"/>
        <v>8.7363715467097425</v>
      </c>
      <c r="F102" s="10">
        <f t="shared" si="23"/>
        <v>2.1226490240454683</v>
      </c>
      <c r="G102" s="10">
        <f t="shared" si="23"/>
        <v>3.6524698974891665</v>
      </c>
      <c r="H102" s="10">
        <f t="shared" si="23"/>
        <v>8.9335653601889931</v>
      </c>
      <c r="I102" s="10">
        <f t="shared" si="23"/>
        <v>1.284460992970502</v>
      </c>
      <c r="J102" s="10">
        <f t="shared" si="23"/>
        <v>0.59282815060177063</v>
      </c>
      <c r="K102" s="10">
        <f t="shared" si="23"/>
        <v>3.2333758819516834</v>
      </c>
      <c r="L102" s="10">
        <f t="shared" si="23"/>
        <v>0.98804691766961739</v>
      </c>
      <c r="M102" s="11">
        <f t="shared" si="23"/>
        <v>6.4906270123730083</v>
      </c>
      <c r="N102" s="19"/>
    </row>
    <row r="103" spans="3:25" x14ac:dyDescent="0.3">
      <c r="N103" s="19">
        <f>+SUM(E94:M102)</f>
        <v>406.80540170317215</v>
      </c>
    </row>
    <row r="104" spans="3:25" ht="15" thickBot="1" x14ac:dyDescent="0.35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25" ht="15" thickBot="1" x14ac:dyDescent="0.35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25" x14ac:dyDescent="0.3">
      <c r="C106" s="20" t="s">
        <v>1</v>
      </c>
      <c r="D106" s="28" t="s">
        <v>51</v>
      </c>
      <c r="E106" s="1">
        <f>+MAX(E94-E78,0)</f>
        <v>0.10524497979449166</v>
      </c>
      <c r="F106" s="2">
        <f t="shared" ref="F106:M106" si="25">+MAX(F94-F78,0)</f>
        <v>2.3867749985288178E-2</v>
      </c>
      <c r="G106" s="2">
        <f t="shared" si="25"/>
        <v>4.5444517271016061E-2</v>
      </c>
      <c r="H106" s="2">
        <f t="shared" si="25"/>
        <v>6.4281486134070143E-3</v>
      </c>
      <c r="I106" s="2">
        <f t="shared" si="25"/>
        <v>2.5455363328457103E-3</v>
      </c>
      <c r="J106" s="2">
        <f t="shared" si="25"/>
        <v>3.6279247726829666E-2</v>
      </c>
      <c r="K106" s="2">
        <f t="shared" si="25"/>
        <v>1.533886452431199E-2</v>
      </c>
      <c r="L106" s="2">
        <f t="shared" si="25"/>
        <v>3.3033019529476348E-2</v>
      </c>
      <c r="M106" s="3">
        <f t="shared" si="25"/>
        <v>1.0947144977181855E-2</v>
      </c>
      <c r="N106" s="53">
        <f>+SUM(E106:M106)</f>
        <v>0.27912920875484848</v>
      </c>
    </row>
    <row r="107" spans="3:25" x14ac:dyDescent="0.3">
      <c r="C107" s="20" t="s">
        <v>1</v>
      </c>
      <c r="D107" s="25" t="s">
        <v>52</v>
      </c>
      <c r="E107" s="5">
        <f t="shared" ref="E107:M114" si="26">+MAX(E95-E79,0)</f>
        <v>9.8642099953641704E-2</v>
      </c>
      <c r="F107" s="6">
        <f t="shared" si="26"/>
        <v>2.2424484620867879E-2</v>
      </c>
      <c r="G107" s="6">
        <f t="shared" si="26"/>
        <v>4.6575622462635025E-2</v>
      </c>
      <c r="H107" s="6">
        <f t="shared" si="26"/>
        <v>2.9281648861183562E-2</v>
      </c>
      <c r="I107" s="6">
        <f t="shared" si="26"/>
        <v>1.1815928752004101E-2</v>
      </c>
      <c r="J107" s="6">
        <f t="shared" si="26"/>
        <v>5.1904985354306987E-2</v>
      </c>
      <c r="K107" s="6">
        <f t="shared" si="26"/>
        <v>1.3848724181122041E-2</v>
      </c>
      <c r="L107" s="6">
        <f t="shared" si="26"/>
        <v>2.9189366053701704E-2</v>
      </c>
      <c r="M107" s="7">
        <f t="shared" si="26"/>
        <v>3.8370460402876283E-2</v>
      </c>
      <c r="N107" s="8">
        <f t="shared" ref="N107:N114" si="27">+SUM(E107:M107)</f>
        <v>0.34205332064233929</v>
      </c>
    </row>
    <row r="108" spans="3:25" x14ac:dyDescent="0.3">
      <c r="C108" s="20" t="s">
        <v>1</v>
      </c>
      <c r="D108" s="25" t="s">
        <v>53</v>
      </c>
      <c r="E108" s="5">
        <f t="shared" si="26"/>
        <v>1.9228317345810098E-2</v>
      </c>
      <c r="F108" s="6">
        <f t="shared" si="26"/>
        <v>3.7786336183444069E-3</v>
      </c>
      <c r="G108" s="6">
        <f t="shared" si="26"/>
        <v>4.3184384209651316E-3</v>
      </c>
      <c r="H108" s="6">
        <f t="shared" si="26"/>
        <v>3.9567585560590146E-2</v>
      </c>
      <c r="I108" s="6">
        <f t="shared" si="26"/>
        <v>2.407523335602324E-2</v>
      </c>
      <c r="J108" s="6">
        <f t="shared" si="26"/>
        <v>2.029659973767961E-2</v>
      </c>
      <c r="K108" s="6">
        <f t="shared" si="26"/>
        <v>3.5788951942248737E-2</v>
      </c>
      <c r="L108" s="6">
        <f t="shared" si="26"/>
        <v>2.2455818948160733E-2</v>
      </c>
      <c r="M108" s="7">
        <f t="shared" si="26"/>
        <v>3.7948171152734744E-2</v>
      </c>
      <c r="N108" s="8">
        <f t="shared" si="27"/>
        <v>0.20745775008255685</v>
      </c>
    </row>
    <row r="109" spans="3:25" x14ac:dyDescent="0.3">
      <c r="C109" s="20" t="s">
        <v>10</v>
      </c>
      <c r="D109" s="25" t="str">
        <f>+D106</f>
        <v>Agr</v>
      </c>
      <c r="E109" s="5">
        <f t="shared" si="26"/>
        <v>0.12267932533836046</v>
      </c>
      <c r="F109" s="6">
        <f t="shared" si="26"/>
        <v>3.4737772270324818E-2</v>
      </c>
      <c r="G109" s="6">
        <f t="shared" si="26"/>
        <v>3.1814885401623805E-2</v>
      </c>
      <c r="H109" s="6">
        <f t="shared" si="26"/>
        <v>4.125432393861761E-2</v>
      </c>
      <c r="I109" s="6">
        <f t="shared" si="26"/>
        <v>5.6059985922770394E-2</v>
      </c>
      <c r="J109" s="6">
        <f t="shared" si="26"/>
        <v>4.9783209399599571E-2</v>
      </c>
      <c r="K109" s="6">
        <f t="shared" si="26"/>
        <v>5.6059985922770394E-2</v>
      </c>
      <c r="L109" s="6">
        <f t="shared" si="26"/>
        <v>5.514943284674878E-2</v>
      </c>
      <c r="M109" s="7">
        <f t="shared" si="26"/>
        <v>5.1124765261389982E-2</v>
      </c>
      <c r="N109" s="8">
        <f t="shared" si="27"/>
        <v>0.49866368630220581</v>
      </c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3:25" x14ac:dyDescent="0.3">
      <c r="C110" s="20" t="s">
        <v>10</v>
      </c>
      <c r="D110" s="25" t="str">
        <f t="shared" ref="D110:D114" si="28">+D107</f>
        <v>Ind</v>
      </c>
      <c r="E110" s="5">
        <f t="shared" si="26"/>
        <v>5.5855225000748909E-2</v>
      </c>
      <c r="F110" s="6">
        <f t="shared" si="26"/>
        <v>1.34817890623391E-2</v>
      </c>
      <c r="G110" s="6">
        <f t="shared" si="26"/>
        <v>1.8595366918825906E-2</v>
      </c>
      <c r="H110" s="6">
        <f t="shared" si="26"/>
        <v>3.6105856054526875E-2</v>
      </c>
      <c r="I110" s="6">
        <f t="shared" si="26"/>
        <v>3.9266653901396609E-2</v>
      </c>
      <c r="J110" s="6">
        <f t="shared" si="26"/>
        <v>2.435987144518581E-2</v>
      </c>
      <c r="K110" s="6">
        <f t="shared" si="26"/>
        <v>5.188054073723869E-2</v>
      </c>
      <c r="L110" s="6">
        <f t="shared" si="26"/>
        <v>1.4132715732211754E-2</v>
      </c>
      <c r="M110" s="7">
        <f t="shared" si="26"/>
        <v>4.6116036210881006E-2</v>
      </c>
      <c r="N110" s="8">
        <f t="shared" si="27"/>
        <v>0.29979405506335466</v>
      </c>
    </row>
    <row r="111" spans="3:25" x14ac:dyDescent="0.3">
      <c r="C111" s="20" t="s">
        <v>10</v>
      </c>
      <c r="D111" s="25" t="str">
        <f t="shared" si="28"/>
        <v>Serv</v>
      </c>
      <c r="E111" s="5">
        <f t="shared" si="26"/>
        <v>7.9922241354304369E-2</v>
      </c>
      <c r="F111" s="6">
        <f t="shared" si="26"/>
        <v>2.5329855368869225E-2</v>
      </c>
      <c r="G111" s="6">
        <f t="shared" si="26"/>
        <v>2.1637932883584288E-2</v>
      </c>
      <c r="H111" s="6">
        <f t="shared" si="26"/>
        <v>1.4569807144154456E-2</v>
      </c>
      <c r="I111" s="6">
        <f t="shared" si="26"/>
        <v>4.5822747762048088E-2</v>
      </c>
      <c r="J111" s="6">
        <f t="shared" si="26"/>
        <v>1.1964006932199789E-2</v>
      </c>
      <c r="K111" s="6">
        <f t="shared" si="26"/>
        <v>1.0562165427729475E-2</v>
      </c>
      <c r="L111" s="6">
        <f t="shared" si="26"/>
        <v>3.131185883496812E-2</v>
      </c>
      <c r="M111" s="7">
        <f t="shared" si="26"/>
        <v>1.2852246408545653E-2</v>
      </c>
      <c r="N111" s="8">
        <f t="shared" si="27"/>
        <v>0.25397286211640346</v>
      </c>
    </row>
    <row r="112" spans="3:25" x14ac:dyDescent="0.3">
      <c r="C112" s="20" t="s">
        <v>11</v>
      </c>
      <c r="D112" s="25" t="str">
        <f t="shared" si="28"/>
        <v>Agr</v>
      </c>
      <c r="E112" s="5">
        <f t="shared" si="26"/>
        <v>5.9441146321253413E-2</v>
      </c>
      <c r="F112" s="6">
        <f t="shared" si="26"/>
        <v>5.4569368298560406E-2</v>
      </c>
      <c r="G112" s="6">
        <f t="shared" si="26"/>
        <v>4.7232976936949278E-2</v>
      </c>
      <c r="H112" s="6">
        <f t="shared" si="26"/>
        <v>4.8516184419016284E-2</v>
      </c>
      <c r="I112" s="6">
        <f t="shared" si="26"/>
        <v>5.4569368298560406E-2</v>
      </c>
      <c r="J112" s="6">
        <f t="shared" si="26"/>
        <v>1.0136199844621885E-2</v>
      </c>
      <c r="K112" s="6">
        <f t="shared" si="26"/>
        <v>4.1776040107093237E-2</v>
      </c>
      <c r="L112" s="6">
        <f t="shared" si="26"/>
        <v>5.3286160816487183E-2</v>
      </c>
      <c r="M112" s="7">
        <f t="shared" si="26"/>
        <v>4.544423578790191E-2</v>
      </c>
      <c r="N112" s="8">
        <f t="shared" si="27"/>
        <v>0.414971680830444</v>
      </c>
    </row>
    <row r="113" spans="1:14" x14ac:dyDescent="0.3">
      <c r="C113" s="20" t="s">
        <v>11</v>
      </c>
      <c r="D113" s="25" t="str">
        <f t="shared" si="28"/>
        <v>Ind</v>
      </c>
      <c r="E113" s="5">
        <f t="shared" si="26"/>
        <v>2.4775904416918237E-2</v>
      </c>
      <c r="F113" s="6">
        <f t="shared" si="26"/>
        <v>4.153955825823985E-2</v>
      </c>
      <c r="G113" s="6">
        <f t="shared" si="26"/>
        <v>6.3174708721827066E-3</v>
      </c>
      <c r="H113" s="6">
        <f t="shared" si="26"/>
        <v>4.7802557152552438E-2</v>
      </c>
      <c r="I113" s="6">
        <f t="shared" si="26"/>
        <v>2.5337625368330174E-3</v>
      </c>
      <c r="J113" s="6">
        <f t="shared" si="26"/>
        <v>7.1383468297603336E-3</v>
      </c>
      <c r="K113" s="6">
        <f t="shared" si="26"/>
        <v>4.1503425462106946E-2</v>
      </c>
      <c r="L113" s="6">
        <f t="shared" si="26"/>
        <v>5.1995865218939841E-2</v>
      </c>
      <c r="M113" s="7">
        <f t="shared" si="26"/>
        <v>1.0831450391108888E-2</v>
      </c>
      <c r="N113" s="8">
        <f t="shared" si="27"/>
        <v>0.23443834113864226</v>
      </c>
    </row>
    <row r="114" spans="1:14" x14ac:dyDescent="0.3">
      <c r="C114" s="20" t="s">
        <v>11</v>
      </c>
      <c r="D114" s="25" t="str">
        <f t="shared" si="28"/>
        <v>Serv</v>
      </c>
      <c r="E114" s="9">
        <f t="shared" si="26"/>
        <v>0.1201906319322319</v>
      </c>
      <c r="F114" s="10">
        <f t="shared" si="26"/>
        <v>1.2651031226444509E-2</v>
      </c>
      <c r="G114" s="10">
        <f t="shared" si="26"/>
        <v>2.1768794653916679E-2</v>
      </c>
      <c r="H114" s="10">
        <f t="shared" si="26"/>
        <v>5.3244230701798401E-2</v>
      </c>
      <c r="I114" s="10">
        <f t="shared" si="26"/>
        <v>7.6554135644384402E-3</v>
      </c>
      <c r="J114" s="10">
        <f t="shared" si="26"/>
        <v>3.5332677989716732E-3</v>
      </c>
      <c r="K114" s="10">
        <f t="shared" si="26"/>
        <v>1.9270985822914088E-2</v>
      </c>
      <c r="L114" s="10">
        <f t="shared" si="26"/>
        <v>5.8887796649523816E-3</v>
      </c>
      <c r="M114" s="11">
        <f t="shared" si="26"/>
        <v>3.8684268610853501E-2</v>
      </c>
      <c r="N114" s="12">
        <f t="shared" si="27"/>
        <v>0.28288740397652157</v>
      </c>
    </row>
    <row r="115" spans="1:14" x14ac:dyDescent="0.3">
      <c r="C115" s="57"/>
      <c r="D115" s="57"/>
      <c r="N115" s="19">
        <f>+SUM(E106:M114)</f>
        <v>2.8133683089073163</v>
      </c>
    </row>
    <row r="116" spans="1:14" x14ac:dyDescent="0.3">
      <c r="A116" s="66"/>
    </row>
    <row r="117" spans="1:14" x14ac:dyDescent="0.3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</row>
    <row r="118" spans="1:14" x14ac:dyDescent="0.3">
      <c r="A118" s="67"/>
      <c r="C118" s="20" t="s">
        <v>1</v>
      </c>
      <c r="D118" s="28" t="s">
        <v>51</v>
      </c>
      <c r="E118" s="53">
        <f t="shared" ref="E118:E126" si="29">+MAX(F60-H47-SUM(E78:M78),0)</f>
        <v>0.25401467819825996</v>
      </c>
      <c r="F118" s="53" cm="1">
        <f t="array" ref="F118">+E118/_xlfn.XLOOKUP(D118,_xlfn.ANCHORARRAY($I$118),$K$118:$K$120,,0)</f>
        <v>0.21296296296295997</v>
      </c>
      <c r="G118" s="53" cm="1">
        <f t="array" ref="G118">+E118/_xlfn.XLOOKUP(D118,_xlfn.ANCHORARRAY($I$118),$J$118:$J$120,,0)</f>
        <v>0.21296296296295683</v>
      </c>
      <c r="I118" s="54" t="str" cm="1">
        <f t="array" ref="I118:I120">+_xlfn.UNIQUE(D118:D126)</f>
        <v>Agr</v>
      </c>
      <c r="J118" s="58">
        <f>+SUMIF($D$118:$D$126,I118,$E$118:$E$126)</f>
        <v>1.1927645758875158</v>
      </c>
      <c r="K118" s="40">
        <f>+SUMIF($D$106:$D$114,I118,$N$106:$N$114)</f>
        <v>1.1927645758874983</v>
      </c>
      <c r="L118" s="40">
        <f>+J118/K118</f>
        <v>1.0000000000000147</v>
      </c>
      <c r="M118" s="18"/>
    </row>
    <row r="119" spans="1:14" x14ac:dyDescent="0.3">
      <c r="C119" s="20" t="s">
        <v>1</v>
      </c>
      <c r="D119" s="25" t="s">
        <v>52</v>
      </c>
      <c r="E119" s="8">
        <f t="shared" si="29"/>
        <v>0.33132349330209365</v>
      </c>
      <c r="F119" s="8" cm="1">
        <f t="array" ref="F119">+E119/_xlfn.XLOOKUP(D119,_xlfn.ANCHORARRAY($I$118),$K$118:$K$120,,0)</f>
        <v>0.37809984452930451</v>
      </c>
      <c r="G119" s="8" cm="1">
        <f t="array" ref="G119">+E119/_xlfn.XLOOKUP(D119,_xlfn.ANCHORARRAY($I$118),$J$118:$J$120,,0)</f>
        <v>0.36923076923076947</v>
      </c>
      <c r="I119" s="55" t="str">
        <v>Ind</v>
      </c>
      <c r="J119" s="59">
        <f t="shared" ref="J119:J120" si="30">+SUMIF($D$118:$D$126,I119,$E$118:$E$126)</f>
        <v>0.89733446102650305</v>
      </c>
      <c r="K119" s="41">
        <f t="shared" ref="K119:K120" si="31">+SUMIF($D$106:$D$114,I119,$N$106:$N$114)</f>
        <v>0.8762857168443362</v>
      </c>
      <c r="L119" s="41">
        <f t="shared" ref="L119:L120" si="32">+J119/K119</f>
        <v>1.0240204122668657</v>
      </c>
      <c r="M119" s="18"/>
    </row>
    <row r="120" spans="1:14" x14ac:dyDescent="0.3">
      <c r="C120" s="20" t="s">
        <v>1</v>
      </c>
      <c r="D120" s="25" t="s">
        <v>53</v>
      </c>
      <c r="E120" s="8">
        <f t="shared" si="29"/>
        <v>0.22778490164518672</v>
      </c>
      <c r="F120" s="8" cm="1">
        <f t="array" ref="F120">+E120/_xlfn.XLOOKUP(D120,_xlfn.ANCHORARRAY($I$118),$K$118:$K$120,,0)</f>
        <v>0.30603169168954214</v>
      </c>
      <c r="G120" s="8" cm="1">
        <f t="array" ref="G120">+E120/_xlfn.XLOOKUP(D120,_xlfn.ANCHORARRAY($I$118),$J$118:$J$120,,0)</f>
        <v>0.31730769230769695</v>
      </c>
      <c r="I120" s="56" t="str">
        <v>Serv</v>
      </c>
      <c r="J120" s="60">
        <f t="shared" si="30"/>
        <v>0.71786756882118397</v>
      </c>
      <c r="K120" s="42">
        <f t="shared" si="31"/>
        <v>0.74431801617548188</v>
      </c>
      <c r="L120" s="42">
        <f t="shared" si="32"/>
        <v>0.96446351320339141</v>
      </c>
      <c r="M120" s="18"/>
    </row>
    <row r="121" spans="1:14" x14ac:dyDescent="0.3">
      <c r="C121" s="20" t="s">
        <v>10</v>
      </c>
      <c r="D121" s="25" t="str">
        <f>+D118</f>
        <v>Agr</v>
      </c>
      <c r="E121" s="8">
        <f t="shared" si="29"/>
        <v>0.49698523995313337</v>
      </c>
      <c r="F121" s="8" cm="1">
        <f t="array" ref="F121">+E121/_xlfn.XLOOKUP(D121,_xlfn.ANCHORARRAY($I$118),$K$118:$K$120,,0)</f>
        <v>0.41666666666667429</v>
      </c>
      <c r="G121" s="8" cm="1">
        <f t="array" ref="G121">+E121/_xlfn.XLOOKUP(D121,_xlfn.ANCHORARRAY($I$118),$J$118:$J$120,,0)</f>
        <v>0.41666666666666813</v>
      </c>
    </row>
    <row r="122" spans="1:14" x14ac:dyDescent="0.3">
      <c r="C122" s="20" t="s">
        <v>10</v>
      </c>
      <c r="D122" s="25" t="str">
        <f t="shared" ref="D122:D126" si="33">+D119</f>
        <v>Ind</v>
      </c>
      <c r="E122" s="8">
        <f t="shared" si="29"/>
        <v>0.31061577497072079</v>
      </c>
      <c r="F122" s="8" cm="1">
        <f t="array" ref="F122">+E122/_xlfn.XLOOKUP(D122,_xlfn.ANCHORARRAY($I$118),$K$118:$K$120,,0)</f>
        <v>0.35446860424623206</v>
      </c>
      <c r="G122" s="8" cm="1">
        <f t="array" ref="G122">+E122/_xlfn.XLOOKUP(D122,_xlfn.ANCHORARRAY($I$118),$J$118:$J$120,,0)</f>
        <v>0.3461538461538553</v>
      </c>
      <c r="I122" s="20" t="s">
        <v>39</v>
      </c>
    </row>
    <row r="123" spans="1:14" x14ac:dyDescent="0.3">
      <c r="C123" s="20" t="s">
        <v>10</v>
      </c>
      <c r="D123" s="25" t="str">
        <f t="shared" si="33"/>
        <v>Serv</v>
      </c>
      <c r="E123" s="8">
        <f t="shared" si="29"/>
        <v>0.24159004719943766</v>
      </c>
      <c r="F123" s="8" cm="1">
        <f t="array" ref="F123">+E123/_xlfn.XLOOKUP(D123,_xlfn.ANCHORARRAY($I$118),$K$118:$K$120,,0)</f>
        <v>0.32457906694345007</v>
      </c>
      <c r="G123" s="8" cm="1">
        <f t="array" ref="G123">+E123/_xlfn.XLOOKUP(D123,_xlfn.ANCHORARRAY($I$118),$J$118:$J$120,,0)</f>
        <v>0.33653846153846256</v>
      </c>
      <c r="I123" s="69">
        <v>1</v>
      </c>
    </row>
    <row r="124" spans="1:14" x14ac:dyDescent="0.3">
      <c r="C124" s="20" t="s">
        <v>11</v>
      </c>
      <c r="D124" s="25" t="str">
        <f t="shared" si="33"/>
        <v>Agr</v>
      </c>
      <c r="E124" s="8">
        <f t="shared" si="29"/>
        <v>0.4417646577361225</v>
      </c>
      <c r="F124" s="8" cm="1">
        <f t="array" ref="F124">+E124/_xlfn.XLOOKUP(D124,_xlfn.ANCHORARRAY($I$118),$K$118:$K$120,,0)</f>
        <v>0.37037037037038045</v>
      </c>
      <c r="G124" s="8" cm="1">
        <f t="array" ref="G124">+E124/_xlfn.XLOOKUP(D124,_xlfn.ANCHORARRAY($I$118),$J$118:$J$120,,0)</f>
        <v>0.37037037037037501</v>
      </c>
    </row>
    <row r="125" spans="1:14" x14ac:dyDescent="0.3">
      <c r="C125" s="20" t="s">
        <v>11</v>
      </c>
      <c r="D125" s="25" t="str">
        <f t="shared" si="33"/>
        <v>Ind</v>
      </c>
      <c r="E125" s="8">
        <f t="shared" si="29"/>
        <v>0.2553951927536886</v>
      </c>
      <c r="F125" s="8" cm="1">
        <f t="array" ref="F125">+E125/_xlfn.XLOOKUP(D125,_xlfn.ANCHORARRAY($I$118),$K$118:$K$120,,0)</f>
        <v>0.29145196349132907</v>
      </c>
      <c r="G125" s="8" cm="1">
        <f t="array" ref="G125">+E125/_xlfn.XLOOKUP(D125,_xlfn.ANCHORARRAY($I$118),$J$118:$J$120,,0)</f>
        <v>0.28461538461537522</v>
      </c>
    </row>
    <row r="126" spans="1:14" x14ac:dyDescent="0.3">
      <c r="C126" s="20" t="s">
        <v>11</v>
      </c>
      <c r="D126" s="25" t="str">
        <f t="shared" si="33"/>
        <v>Serv</v>
      </c>
      <c r="E126" s="12">
        <f t="shared" si="29"/>
        <v>0.24849261997655958</v>
      </c>
      <c r="F126" s="12" cm="1">
        <f t="array" ref="F126">+E126/_xlfn.XLOOKUP(D126,_xlfn.ANCHORARRAY($I$118),$K$118:$K$120,,0)</f>
        <v>0.3338527545703992</v>
      </c>
      <c r="G126" s="12" cm="1">
        <f t="array" ref="G126">+E126/_xlfn.XLOOKUP(D126,_xlfn.ANCHORARRAY($I$118),$J$118:$J$120,,0)</f>
        <v>0.34615384615384043</v>
      </c>
    </row>
    <row r="127" spans="1:14" x14ac:dyDescent="0.3">
      <c r="E127" s="19">
        <f>SUM(E118:E126)</f>
        <v>2.8079666057352028</v>
      </c>
      <c r="G127" s="19">
        <f>SUM(G118:G126)</f>
        <v>3</v>
      </c>
    </row>
    <row r="128" spans="1:14" x14ac:dyDescent="0.3">
      <c r="A128" s="64"/>
      <c r="E128" s="19"/>
      <c r="G128" s="19"/>
    </row>
    <row r="129" spans="1:24" ht="15" thickBot="1" x14ac:dyDescent="0.35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</row>
    <row r="130" spans="1:24" ht="15" thickBot="1" x14ac:dyDescent="0.35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</row>
    <row r="131" spans="1:24" x14ac:dyDescent="0.3">
      <c r="D131" s="28" t="str" cm="1">
        <f t="array" ref="D131:D133">+_xlfn.UNIQUE(D118:D126)</f>
        <v>Agr</v>
      </c>
      <c r="E131" s="1">
        <f t="shared" ref="E131:M133" si="34">+SUMIF($D$106:$D$114,$D131,E$106:E$114)</f>
        <v>0.28736545145410552</v>
      </c>
      <c r="F131" s="2">
        <f t="shared" si="34"/>
        <v>0.1131748905541734</v>
      </c>
      <c r="G131" s="2">
        <f t="shared" si="34"/>
        <v>0.12449237960958914</v>
      </c>
      <c r="H131" s="2">
        <f t="shared" si="34"/>
        <v>9.6198656971040908E-2</v>
      </c>
      <c r="I131" s="2">
        <f t="shared" si="34"/>
        <v>0.11317489055417651</v>
      </c>
      <c r="J131" s="2">
        <f t="shared" si="34"/>
        <v>9.6198656971051122E-2</v>
      </c>
      <c r="K131" s="2">
        <f t="shared" si="34"/>
        <v>0.11317489055417562</v>
      </c>
      <c r="L131" s="2">
        <f t="shared" si="34"/>
        <v>0.14146861319271231</v>
      </c>
      <c r="M131" s="3">
        <f t="shared" si="34"/>
        <v>0.10751614602647375</v>
      </c>
    </row>
    <row r="132" spans="1:24" x14ac:dyDescent="0.3">
      <c r="D132" s="25" t="str">
        <v>Ind</v>
      </c>
      <c r="E132" s="5">
        <f t="shared" si="34"/>
        <v>0.17927322937130885</v>
      </c>
      <c r="F132" s="6">
        <f t="shared" si="34"/>
        <v>7.744583194144683E-2</v>
      </c>
      <c r="G132" s="6">
        <f t="shared" si="34"/>
        <v>7.1488460253643638E-2</v>
      </c>
      <c r="H132" s="6">
        <f t="shared" si="34"/>
        <v>0.11319006206826288</v>
      </c>
      <c r="I132" s="6">
        <f t="shared" si="34"/>
        <v>5.3616345190233727E-2</v>
      </c>
      <c r="J132" s="6">
        <f t="shared" si="34"/>
        <v>8.3403203629253131E-2</v>
      </c>
      <c r="K132" s="6">
        <f t="shared" si="34"/>
        <v>0.10723269038046768</v>
      </c>
      <c r="L132" s="6">
        <f t="shared" si="34"/>
        <v>9.5317947004853298E-2</v>
      </c>
      <c r="M132" s="7">
        <f t="shared" si="34"/>
        <v>9.5317947004866177E-2</v>
      </c>
    </row>
    <row r="133" spans="1:24" x14ac:dyDescent="0.3">
      <c r="D133" s="25" t="str">
        <v>Serv</v>
      </c>
      <c r="E133" s="9">
        <f t="shared" si="34"/>
        <v>0.21934119063234636</v>
      </c>
      <c r="F133" s="10">
        <f t="shared" si="34"/>
        <v>4.1759520213658141E-2</v>
      </c>
      <c r="G133" s="10">
        <f t="shared" si="34"/>
        <v>4.7725165958466098E-2</v>
      </c>
      <c r="H133" s="10">
        <f t="shared" si="34"/>
        <v>0.107381623406543</v>
      </c>
      <c r="I133" s="10">
        <f t="shared" si="34"/>
        <v>7.7553394682509769E-2</v>
      </c>
      <c r="J133" s="10">
        <f t="shared" si="34"/>
        <v>3.5793874468851072E-2</v>
      </c>
      <c r="K133" s="10">
        <f t="shared" si="34"/>
        <v>6.56221031928923E-2</v>
      </c>
      <c r="L133" s="10">
        <f t="shared" si="34"/>
        <v>5.9656457448081235E-2</v>
      </c>
      <c r="M133" s="11">
        <f t="shared" si="34"/>
        <v>8.9484686172133898E-2</v>
      </c>
      <c r="O133" s="19"/>
    </row>
    <row r="135" spans="1:24" ht="15" thickBot="1" x14ac:dyDescent="0.35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</row>
    <row r="136" spans="1:24" ht="15" thickBot="1" x14ac:dyDescent="0.35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</row>
    <row r="137" spans="1:24" x14ac:dyDescent="0.3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6.1198197994854937E-2</v>
      </c>
      <c r="F137" s="2" cm="1">
        <f t="array" ref="F137">+$I$123*$G118*_xlfn.XLOOKUP($D137,_xlfn.ANCHORARRAY($I$118),$L$118:$L$120,,0)*_xlfn.XLOOKUP($D137,$D$131:$D$133,F$131:F$133,,0)</f>
        <v>2.4102060025425476E-2</v>
      </c>
      <c r="G137" s="2" cm="1">
        <f t="array" ref="G137">+$I$123*$G118*_xlfn.XLOOKUP($D137,_xlfn.ANCHORARRAY($I$118),$L$118:$L$120,,0)*_xlfn.XLOOKUP($D137,$D$131:$D$133,G$131:G$133,,0)</f>
        <v>2.6512266027967683E-2</v>
      </c>
      <c r="H137" s="2" cm="1">
        <f t="array" ref="H137">+$I$123*$G118*_xlfn.XLOOKUP($D137,_xlfn.ANCHORARRAY($I$118),$L$118:$L$120,,0)*_xlfn.XLOOKUP($D137,$D$131:$D$133,H$131:H$133,,0)</f>
        <v>2.0486751021610274E-2</v>
      </c>
      <c r="I137" s="2" cm="1">
        <f t="array" ref="I137">+$I$123*$G118*_xlfn.XLOOKUP($D137,_xlfn.ANCHORARRAY($I$118),$L$118:$L$120,,0)*_xlfn.XLOOKUP($D137,$D$131:$D$133,I$131:I$133,,0)</f>
        <v>2.4102060025426138E-2</v>
      </c>
      <c r="J137" s="2" cm="1">
        <f t="array" ref="J137">+$I$123*$G118*_xlfn.XLOOKUP($D137,_xlfn.ANCHORARRAY($I$118),$L$118:$L$120,,0)*_xlfn.XLOOKUP($D137,$D$131:$D$133,J$131:J$133,,0)</f>
        <v>2.0486751021612449E-2</v>
      </c>
      <c r="K137" s="2" cm="1">
        <f t="array" ref="K137">+$I$123*$G118*_xlfn.XLOOKUP($D137,_xlfn.ANCHORARRAY($I$118),$L$118:$L$120,,0)*_xlfn.XLOOKUP($D137,$D$131:$D$133,K$131:K$133,,0)</f>
        <v>2.4102060025425948E-2</v>
      </c>
      <c r="L137" s="2" cm="1">
        <f t="array" ref="L137">+$I$123*$G118*_xlfn.XLOOKUP($D137,_xlfn.ANCHORARRAY($I$118),$L$118:$L$120,,0)*_xlfn.XLOOKUP($D137,$D$131:$D$133,L$131:L$133,,0)</f>
        <v>3.0127575031780898E-2</v>
      </c>
      <c r="M137" s="3" cm="1">
        <f t="array" ref="M137">+$I$123*$G118*_xlfn.XLOOKUP($D137,_xlfn.ANCHORARRAY($I$118),$L$118:$L$120,,0)*_xlfn.XLOOKUP($D137,$D$131:$D$133,M$131:M$133,,0)</f>
        <v>2.2896957024156121E-2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x14ac:dyDescent="0.3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6.778318015355822E-2</v>
      </c>
      <c r="F138" s="6" cm="1">
        <f t="array" ref="F138">+$I$123*$G119*_xlfn.XLOOKUP($D138,_xlfn.ANCHORARRAY($I$118),$L$118:$L$120,,0)*_xlfn.XLOOKUP($D138,$D$131:$D$133,F$131:F$133,,0)</f>
        <v>2.928225701650369E-2</v>
      </c>
      <c r="G138" s="6" cm="1">
        <f t="array" ref="G138">+$I$123*$G119*_xlfn.XLOOKUP($D138,_xlfn.ANCHORARRAY($I$118),$L$118:$L$120,,0)*_xlfn.XLOOKUP($D138,$D$131:$D$133,G$131:G$133,,0)</f>
        <v>2.7029775707542024E-2</v>
      </c>
      <c r="H138" s="6" cm="1">
        <f t="array" ref="H138">+$I$123*$G119*_xlfn.XLOOKUP($D138,_xlfn.ANCHORARRAY($I$118),$L$118:$L$120,,0)*_xlfn.XLOOKUP($D138,$D$131:$D$133,H$131:H$133,,0)</f>
        <v>4.2797144870272523E-2</v>
      </c>
      <c r="I138" s="6" cm="1">
        <f t="array" ref="I138">+$I$123*$G119*_xlfn.XLOOKUP($D138,_xlfn.ANCHORARRAY($I$118),$L$118:$L$120,,0)*_xlfn.XLOOKUP($D138,$D$131:$D$133,I$131:I$133,,0)</f>
        <v>2.0272331780656894E-2</v>
      </c>
      <c r="J138" s="6" cm="1">
        <f t="array" ref="J138">+$I$123*$G119*_xlfn.XLOOKUP($D138,_xlfn.ANCHORARRAY($I$118),$L$118:$L$120,,0)*_xlfn.XLOOKUP($D138,$D$131:$D$133,J$131:J$133,,0)</f>
        <v>3.1534738325466535E-2</v>
      </c>
      <c r="K138" s="6" cm="1">
        <f t="array" ref="K138">+$I$123*$G119*_xlfn.XLOOKUP($D138,_xlfn.ANCHORARRAY($I$118),$L$118:$L$120,,0)*_xlfn.XLOOKUP($D138,$D$131:$D$133,K$131:K$133,,0)</f>
        <v>4.0544663561313879E-2</v>
      </c>
      <c r="L138" s="6" cm="1">
        <f t="array" ref="L138">+$I$123*$G119*_xlfn.XLOOKUP($D138,_xlfn.ANCHORARRAY($I$118),$L$118:$L$120,,0)*_xlfn.XLOOKUP($D138,$D$131:$D$133,L$131:L$133,,0)</f>
        <v>3.6039700943387522E-2</v>
      </c>
      <c r="M138" s="7" cm="1">
        <f t="array" ref="M138">+$I$123*$G119*_xlfn.XLOOKUP($D138,_xlfn.ANCHORARRAY($I$118),$L$118:$L$120,,0)*_xlfn.XLOOKUP($D138,$D$131:$D$133,M$131:M$133,,0)</f>
        <v>3.6039700943392386E-2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x14ac:dyDescent="0.3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6.7125355626415306E-2</v>
      </c>
      <c r="F139" s="6" cm="1">
        <f t="array" ref="F139">+$I$123*$G120*_xlfn.XLOOKUP($D139,_xlfn.ANCHORARRAY($I$118),$L$118:$L$120,,0)*_xlfn.XLOOKUP($D139,$D$131:$D$133,F$131:F$133,,0)</f>
        <v>1.2779736615129432E-2</v>
      </c>
      <c r="G139" s="6" cm="1">
        <f t="array" ref="G139">+$I$123*$G120*_xlfn.XLOOKUP($D139,_xlfn.ANCHORARRAY($I$118),$L$118:$L$120,,0)*_xlfn.XLOOKUP($D139,$D$131:$D$133,G$131:G$133,,0)</f>
        <v>1.4605413274433529E-2</v>
      </c>
      <c r="H139" s="6" cm="1">
        <f t="array" ref="H139">+$I$123*$G120*_xlfn.XLOOKUP($D139,_xlfn.ANCHORARRAY($I$118),$L$118:$L$120,,0)*_xlfn.XLOOKUP($D139,$D$131:$D$133,H$131:H$133,,0)</f>
        <v>3.2862179867473688E-2</v>
      </c>
      <c r="I139" s="6" cm="1">
        <f t="array" ref="I139">+$I$123*$G120*_xlfn.XLOOKUP($D139,_xlfn.ANCHORARRAY($I$118),$L$118:$L$120,,0)*_xlfn.XLOOKUP($D139,$D$131:$D$133,I$131:I$133,,0)</f>
        <v>2.3733796570955205E-2</v>
      </c>
      <c r="J139" s="6" cm="1">
        <f t="array" ref="J139">+$I$123*$G120*_xlfn.XLOOKUP($D139,_xlfn.ANCHORARRAY($I$118),$L$118:$L$120,,0)*_xlfn.XLOOKUP($D139,$D$131:$D$133,J$131:J$133,,0)</f>
        <v>1.0954059955825605E-2</v>
      </c>
      <c r="K139" s="6" cm="1">
        <f t="array" ref="K139">+$I$123*$G120*_xlfn.XLOOKUP($D139,_xlfn.ANCHORARRAY($I$118),$L$118:$L$120,,0)*_xlfn.XLOOKUP($D139,$D$131:$D$133,K$131:K$133,,0)</f>
        <v>2.0082443252346534E-2</v>
      </c>
      <c r="L139" s="6" cm="1">
        <f t="array" ref="L139">+$I$123*$G120*_xlfn.XLOOKUP($D139,_xlfn.ANCHORARRAY($I$118),$L$118:$L$120,,0)*_xlfn.XLOOKUP($D139,$D$131:$D$133,L$131:L$133,,0)</f>
        <v>1.8256766593041485E-2</v>
      </c>
      <c r="M139" s="7" cm="1">
        <f t="array" ref="M139">+$I$123*$G120*_xlfn.XLOOKUP($D139,_xlfn.ANCHORARRAY($I$118),$L$118:$L$120,,0)*_xlfn.XLOOKUP($D139,$D$131:$D$133,M$131:M$133,,0)</f>
        <v>2.7385149889565915E-2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x14ac:dyDescent="0.3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0.11973560477254615</v>
      </c>
      <c r="F140" s="6" cm="1">
        <f t="array" ref="F140">+$I$123*$G121*_xlfn.XLOOKUP($D140,_xlfn.ANCHORARRAY($I$118),$L$118:$L$120,,0)*_xlfn.XLOOKUP($D140,$D$131:$D$133,F$131:F$133,,0)</f>
        <v>4.7156204397573107E-2</v>
      </c>
      <c r="G140" s="6" cm="1">
        <f t="array" ref="G140">+$I$123*$G121*_xlfn.XLOOKUP($D140,_xlfn.ANCHORARRAY($I$118),$L$118:$L$120,,0)*_xlfn.XLOOKUP($D140,$D$131:$D$133,G$131:G$133,,0)</f>
        <v>5.1871824837329751E-2</v>
      </c>
      <c r="H140" s="6" cm="1">
        <f t="array" ref="H140">+$I$123*$G121*_xlfn.XLOOKUP($D140,_xlfn.ANCHORARRAY($I$118),$L$118:$L$120,,0)*_xlfn.XLOOKUP($D140,$D$131:$D$133,H$131:H$133,,0)</f>
        <v>4.0082773737934438E-2</v>
      </c>
      <c r="I140" s="6" cm="1">
        <f t="array" ref="I140">+$I$123*$G121*_xlfn.XLOOKUP($D140,_xlfn.ANCHORARRAY($I$118),$L$118:$L$120,,0)*_xlfn.XLOOKUP($D140,$D$131:$D$133,I$131:I$133,,0)</f>
        <v>4.7156204397574404E-2</v>
      </c>
      <c r="J140" s="6" cm="1">
        <f t="array" ref="J140">+$I$123*$G121*_xlfn.XLOOKUP($D140,_xlfn.ANCHORARRAY($I$118),$L$118:$L$120,,0)*_xlfn.XLOOKUP($D140,$D$131:$D$133,J$131:J$133,,0)</f>
        <v>4.0082773737938698E-2</v>
      </c>
      <c r="K140" s="6" cm="1">
        <f t="array" ref="K140">+$I$123*$G121*_xlfn.XLOOKUP($D140,_xlfn.ANCHORARRAY($I$118),$L$118:$L$120,,0)*_xlfn.XLOOKUP($D140,$D$131:$D$133,K$131:K$133,,0)</f>
        <v>4.7156204397574029E-2</v>
      </c>
      <c r="L140" s="6" cm="1">
        <f t="array" ref="L140">+$I$123*$G121*_xlfn.XLOOKUP($D140,_xlfn.ANCHORARRAY($I$118),$L$118:$L$120,,0)*_xlfn.XLOOKUP($D140,$D$131:$D$133,L$131:L$133,,0)</f>
        <v>5.8945255496964534E-2</v>
      </c>
      <c r="M140" s="7" cm="1">
        <f t="array" ref="M140">+$I$123*$G121*_xlfn.XLOOKUP($D140,_xlfn.ANCHORARRAY($I$118),$L$118:$L$120,,0)*_xlfn.XLOOKUP($D140,$D$131:$D$133,M$131:M$133,,0)</f>
        <v>4.4798394177698209E-2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x14ac:dyDescent="0.3">
      <c r="C141" s="20" t="s">
        <v>10</v>
      </c>
      <c r="D141" s="25" t="str">
        <f t="shared" ref="D141:D145" si="35">+D138</f>
        <v>Ind</v>
      </c>
      <c r="E141" s="5" cm="1">
        <f t="array" ref="E141">+$I$123*$G122*_xlfn.XLOOKUP($D141,_xlfn.ANCHORARRAY($I$118),$L$118:$L$120,,0)*_xlfn.XLOOKUP($D141,$D$131:$D$133,E$131:E$133,,0)</f>
        <v>6.3546731393962469E-2</v>
      </c>
      <c r="F141" s="6" cm="1">
        <f t="array" ref="F141">+$I$123*$G122*_xlfn.XLOOKUP($D141,_xlfn.ANCHORARRAY($I$118),$L$118:$L$120,,0)*_xlfn.XLOOKUP($D141,$D$131:$D$133,F$131:F$133,,0)</f>
        <v>2.7452115952972918E-2</v>
      </c>
      <c r="G141" s="6" cm="1">
        <f t="array" ref="G141">+$I$123*$G122*_xlfn.XLOOKUP($D141,_xlfn.ANCHORARRAY($I$118),$L$118:$L$120,,0)*_xlfn.XLOOKUP($D141,$D$131:$D$133,G$131:G$133,,0)</f>
        <v>2.5340414725821301E-2</v>
      </c>
      <c r="H141" s="6" cm="1">
        <f t="array" ref="H141">+$I$123*$G122*_xlfn.XLOOKUP($D141,_xlfn.ANCHORARRAY($I$118),$L$118:$L$120,,0)*_xlfn.XLOOKUP($D141,$D$131:$D$133,H$131:H$133,,0)</f>
        <v>4.0122323315881524E-2</v>
      </c>
      <c r="I141" s="6" cm="1">
        <f t="array" ref="I141">+$I$123*$G122*_xlfn.XLOOKUP($D141,_xlfn.ANCHORARRAY($I$118),$L$118:$L$120,,0)*_xlfn.XLOOKUP($D141,$D$131:$D$133,I$131:I$133,,0)</f>
        <v>1.900531104436633E-2</v>
      </c>
      <c r="J141" s="6" cm="1">
        <f t="array" ref="J141">+$I$123*$G122*_xlfn.XLOOKUP($D141,_xlfn.ANCHORARRAY($I$118),$L$118:$L$120,,0)*_xlfn.XLOOKUP($D141,$D$131:$D$133,J$131:J$133,,0)</f>
        <v>2.9563817180125639E-2</v>
      </c>
      <c r="K141" s="6" cm="1">
        <f t="array" ref="K141">+$I$123*$G122*_xlfn.XLOOKUP($D141,_xlfn.ANCHORARRAY($I$118),$L$118:$L$120,,0)*_xlfn.XLOOKUP($D141,$D$131:$D$133,K$131:K$133,,0)</f>
        <v>3.8010622088732737E-2</v>
      </c>
      <c r="L141" s="6" cm="1">
        <f t="array" ref="L141">+$I$123*$G122*_xlfn.XLOOKUP($D141,_xlfn.ANCHORARRAY($I$118),$L$118:$L$120,,0)*_xlfn.XLOOKUP($D141,$D$131:$D$133,L$131:L$133,,0)</f>
        <v>3.3787219634426671E-2</v>
      </c>
      <c r="M141" s="7" cm="1">
        <f t="array" ref="M141">+$I$123*$G122*_xlfn.XLOOKUP($D141,_xlfn.ANCHORARRAY($I$118),$L$118:$L$120,,0)*_xlfn.XLOOKUP($D141,$D$131:$D$133,M$131:M$133,,0)</f>
        <v>3.3787219634431237E-2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x14ac:dyDescent="0.3">
      <c r="C142" s="20" t="s">
        <v>10</v>
      </c>
      <c r="D142" s="25" t="str">
        <f t="shared" si="35"/>
        <v>Serv</v>
      </c>
      <c r="E142" s="5" cm="1">
        <f t="array" ref="E142">+$I$123*$G123*_xlfn.XLOOKUP($D142,_xlfn.ANCHORARRAY($I$118),$L$118:$L$120,,0)*_xlfn.XLOOKUP($D142,$D$131:$D$133,E$131:E$133,,0)</f>
        <v>7.1193558997712375E-2</v>
      </c>
      <c r="F142" s="6" cm="1">
        <f t="array" ref="F142">+$I$123*$G123*_xlfn.XLOOKUP($D142,_xlfn.ANCHORARRAY($I$118),$L$118:$L$120,,0)*_xlfn.XLOOKUP($D142,$D$131:$D$133,F$131:F$133,,0)</f>
        <v>1.3554266106955299E-2</v>
      </c>
      <c r="G142" s="6" cm="1">
        <f t="array" ref="G142">+$I$123*$G123*_xlfn.XLOOKUP($D142,_xlfn.ANCHORARRAY($I$118),$L$118:$L$120,,0)*_xlfn.XLOOKUP($D142,$D$131:$D$133,G$131:G$133,,0)</f>
        <v>1.5490589836520229E-2</v>
      </c>
      <c r="H142" s="6" cm="1">
        <f t="array" ref="H142">+$I$123*$G123*_xlfn.XLOOKUP($D142,_xlfn.ANCHORARRAY($I$118),$L$118:$L$120,,0)*_xlfn.XLOOKUP($D142,$D$131:$D$133,H$131:H$133,,0)</f>
        <v>3.4853827132168662E-2</v>
      </c>
      <c r="I142" s="6" cm="1">
        <f t="array" ref="I142">+$I$123*$G123*_xlfn.XLOOKUP($D142,_xlfn.ANCHORARRAY($I$118),$L$118:$L$120,,0)*_xlfn.XLOOKUP($D142,$D$131:$D$133,I$131:I$133,,0)</f>
        <v>2.5172208484346138E-2</v>
      </c>
      <c r="J142" s="6" cm="1">
        <f t="array" ref="J142">+$I$123*$G123*_xlfn.XLOOKUP($D142,_xlfn.ANCHORARRAY($I$118),$L$118:$L$120,,0)*_xlfn.XLOOKUP($D142,$D$131:$D$133,J$131:J$133,,0)</f>
        <v>1.1617942377390658E-2</v>
      </c>
      <c r="K142" s="6" cm="1">
        <f t="array" ref="K142">+$I$123*$G123*_xlfn.XLOOKUP($D142,_xlfn.ANCHORARRAY($I$118),$L$118:$L$120,,0)*_xlfn.XLOOKUP($D142,$D$131:$D$133,K$131:K$133,,0)</f>
        <v>2.1299561025215775E-2</v>
      </c>
      <c r="L142" s="6" cm="1">
        <f t="array" ref="L142">+$I$123*$G123*_xlfn.XLOOKUP($D142,_xlfn.ANCHORARRAY($I$118),$L$118:$L$120,,0)*_xlfn.XLOOKUP($D142,$D$131:$D$133,L$131:L$133,,0)</f>
        <v>1.9363237295649836E-2</v>
      </c>
      <c r="M142" s="7" cm="1">
        <f t="array" ref="M142">+$I$123*$G123*_xlfn.XLOOKUP($D142,_xlfn.ANCHORARRAY($I$118),$L$118:$L$120,,0)*_xlfn.XLOOKUP($D142,$D$131:$D$133,M$131:M$133,,0)</f>
        <v>2.9044855943478665E-2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x14ac:dyDescent="0.3">
      <c r="C143" s="20" t="s">
        <v>11</v>
      </c>
      <c r="D143" s="25" t="str">
        <f t="shared" si="35"/>
        <v>Agr</v>
      </c>
      <c r="E143" s="5" cm="1">
        <f t="array" ref="E143">+$I$123*$G124*_xlfn.XLOOKUP($D143,_xlfn.ANCHORARRAY($I$118),$L$118:$L$120,,0)*_xlfn.XLOOKUP($D143,$D$131:$D$133,E$131:E$133,,0)</f>
        <v>0.10643164868670865</v>
      </c>
      <c r="F143" s="6" cm="1">
        <f t="array" ref="F143">+$I$123*$G124*_xlfn.XLOOKUP($D143,_xlfn.ANCHORARRAY($I$118),$L$118:$L$120,,0)*_xlfn.XLOOKUP($D143,$D$131:$D$133,F$131:F$133,,0)</f>
        <v>4.1916626131176478E-2</v>
      </c>
      <c r="G143" s="6" cm="1">
        <f t="array" ref="G143">+$I$123*$G124*_xlfn.XLOOKUP($D143,_xlfn.ANCHORARRAY($I$118),$L$118:$L$120,,0)*_xlfn.XLOOKUP($D143,$D$131:$D$133,G$131:G$133,,0)</f>
        <v>4.6108288744293534E-2</v>
      </c>
      <c r="H143" s="6" cm="1">
        <f t="array" ref="H143">+$I$123*$G124*_xlfn.XLOOKUP($D143,_xlfn.ANCHORARRAY($I$118),$L$118:$L$120,,0)*_xlfn.XLOOKUP($D143,$D$131:$D$133,H$131:H$133,,0)</f>
        <v>3.5629132211497605E-2</v>
      </c>
      <c r="I143" s="6" cm="1">
        <f t="array" ref="I143">+$I$123*$G124*_xlfn.XLOOKUP($D143,_xlfn.ANCHORARRAY($I$118),$L$118:$L$120,,0)*_xlfn.XLOOKUP($D143,$D$131:$D$133,I$131:I$133,,0)</f>
        <v>4.191662613117763E-2</v>
      </c>
      <c r="J143" s="6" cm="1">
        <f t="array" ref="J143">+$I$123*$G124*_xlfn.XLOOKUP($D143,_xlfn.ANCHORARRAY($I$118),$L$118:$L$120,,0)*_xlfn.XLOOKUP($D143,$D$131:$D$133,J$131:J$133,,0)</f>
        <v>3.5629132211501387E-2</v>
      </c>
      <c r="K143" s="6" cm="1">
        <f t="array" ref="K143">+$I$123*$G124*_xlfn.XLOOKUP($D143,_xlfn.ANCHORARRAY($I$118),$L$118:$L$120,,0)*_xlfn.XLOOKUP($D143,$D$131:$D$133,K$131:K$133,,0)</f>
        <v>4.1916626131177297E-2</v>
      </c>
      <c r="L143" s="6" cm="1">
        <f t="array" ref="L143">+$I$123*$G124*_xlfn.XLOOKUP($D143,_xlfn.ANCHORARRAY($I$118),$L$118:$L$120,,0)*_xlfn.XLOOKUP($D143,$D$131:$D$133,L$131:L$133,,0)</f>
        <v>5.2395782663968951E-2</v>
      </c>
      <c r="M143" s="7" cm="1">
        <f t="array" ref="M143">+$I$123*$G124*_xlfn.XLOOKUP($D143,_xlfn.ANCHORARRAY($I$118),$L$118:$L$120,,0)*_xlfn.XLOOKUP($D143,$D$131:$D$133,M$131:M$133,,0)</f>
        <v>3.9820794824620989E-2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x14ac:dyDescent="0.3">
      <c r="C144" s="20" t="s">
        <v>11</v>
      </c>
      <c r="D144" s="25" t="str">
        <f t="shared" si="35"/>
        <v>Ind</v>
      </c>
      <c r="E144" s="5" cm="1">
        <f t="array" ref="E144">+$I$123*$G125*_xlfn.XLOOKUP($D144,_xlfn.ANCHORARRAY($I$118),$L$118:$L$120,,0)*_xlfn.XLOOKUP($D144,$D$131:$D$133,E$131:E$133,,0)</f>
        <v>5.2249534701699372E-2</v>
      </c>
      <c r="F144" s="6" cm="1">
        <f t="array" ref="F144">+$I$123*$G125*_xlfn.XLOOKUP($D144,_xlfn.ANCHORARRAY($I$118),$L$118:$L$120,,0)*_xlfn.XLOOKUP($D144,$D$131:$D$133,F$131:F$133,,0)</f>
        <v>2.257173978355417E-2</v>
      </c>
      <c r="G144" s="6" cm="1">
        <f t="array" ref="G144">+$I$123*$G125*_xlfn.XLOOKUP($D144,_xlfn.ANCHORARRAY($I$118),$L$118:$L$120,,0)*_xlfn.XLOOKUP($D144,$D$131:$D$133,G$131:G$133,,0)</f>
        <v>2.0835452107896276E-2</v>
      </c>
      <c r="H144" s="6" cm="1">
        <f t="array" ref="H144">+$I$123*$G125*_xlfn.XLOOKUP($D144,_xlfn.ANCHORARRAY($I$118),$L$118:$L$120,,0)*_xlfn.XLOOKUP($D144,$D$131:$D$133,H$131:H$133,,0)</f>
        <v>3.298946583750062E-2</v>
      </c>
      <c r="I144" s="6" cm="1">
        <f t="array" ref="I144">+$I$123*$G125*_xlfn.XLOOKUP($D144,_xlfn.ANCHORARRAY($I$118),$L$118:$L$120,,0)*_xlfn.XLOOKUP($D144,$D$131:$D$133,I$131:I$133,,0)</f>
        <v>1.5626589080922498E-2</v>
      </c>
      <c r="J144" s="6" cm="1">
        <f t="array" ref="J144">+$I$123*$G125*_xlfn.XLOOKUP($D144,_xlfn.ANCHORARRAY($I$118),$L$118:$L$120,,0)*_xlfn.XLOOKUP($D144,$D$131:$D$133,J$131:J$133,,0)</f>
        <v>2.4308027459212969E-2</v>
      </c>
      <c r="K144" s="6" cm="1">
        <f t="array" ref="K144">+$I$123*$G125*_xlfn.XLOOKUP($D144,_xlfn.ANCHORARRAY($I$118),$L$118:$L$120,,0)*_xlfn.XLOOKUP($D144,$D$131:$D$133,K$131:K$133,,0)</f>
        <v>3.1253178161845058E-2</v>
      </c>
      <c r="L144" s="6" cm="1">
        <f t="array" ref="L144">+$I$123*$G125*_xlfn.XLOOKUP($D144,_xlfn.ANCHORARRAY($I$118),$L$118:$L$120,,0)*_xlfn.XLOOKUP($D144,$D$131:$D$133,L$131:L$133,,0)</f>
        <v>2.7780602810526942E-2</v>
      </c>
      <c r="M144" s="7" cm="1">
        <f t="array" ref="M144">+$I$123*$G125*_xlfn.XLOOKUP($D144,_xlfn.ANCHORARRAY($I$118),$L$118:$L$120,,0)*_xlfn.XLOOKUP($D144,$D$131:$D$133,M$131:M$133,,0)</f>
        <v>2.7780602810530696E-2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3:24" x14ac:dyDescent="0.3">
      <c r="C145" s="20" t="s">
        <v>11</v>
      </c>
      <c r="D145" s="25" t="str">
        <f t="shared" si="35"/>
        <v>Serv</v>
      </c>
      <c r="E145" s="9" cm="1">
        <f t="array" ref="E145">+$I$123*$G126*_xlfn.XLOOKUP($D145,_xlfn.ANCHORARRAY($I$118),$L$118:$L$120,,0)*_xlfn.XLOOKUP($D145,$D$131:$D$133,E$131:E$133,,0)</f>
        <v>7.3227660683359869E-2</v>
      </c>
      <c r="F145" s="10" cm="1">
        <f t="array" ref="F145">+$I$123*$G126*_xlfn.XLOOKUP($D145,_xlfn.ANCHORARRAY($I$118),$L$118:$L$120,,0)*_xlfn.XLOOKUP($D145,$D$131:$D$133,F$131:F$133,,0)</f>
        <v>1.3941530852868035E-2</v>
      </c>
      <c r="G145" s="10" cm="1">
        <f t="array" ref="G145">+$I$123*$G126*_xlfn.XLOOKUP($D145,_xlfn.ANCHORARRAY($I$118),$L$118:$L$120,,0)*_xlfn.XLOOKUP($D145,$D$131:$D$133,G$131:G$133,,0)</f>
        <v>1.5933178117563354E-2</v>
      </c>
      <c r="H145" s="10" cm="1">
        <f t="array" ref="H145">+$I$123*$G126*_xlfn.XLOOKUP($D145,_xlfn.ANCHORARRAY($I$118),$L$118:$L$120,,0)*_xlfn.XLOOKUP($D145,$D$131:$D$133,H$131:H$133,,0)</f>
        <v>3.5849650764515635E-2</v>
      </c>
      <c r="I145" s="10" cm="1">
        <f t="array" ref="I145">+$I$123*$G126*_xlfn.XLOOKUP($D145,_xlfn.ANCHORARRAY($I$118),$L$118:$L$120,,0)*_xlfn.XLOOKUP($D145,$D$131:$D$133,I$131:I$133,,0)</f>
        <v>2.5891414441041236E-2</v>
      </c>
      <c r="J145" s="10" cm="1">
        <f t="array" ref="J145">+$I$123*$G126*_xlfn.XLOOKUP($D145,_xlfn.ANCHORARRAY($I$118),$L$118:$L$120,,0)*_xlfn.XLOOKUP($D145,$D$131:$D$133,J$131:J$133,,0)</f>
        <v>1.1949883588173015E-2</v>
      </c>
      <c r="K145" s="10" cm="1">
        <f t="array" ref="K145">+$I$123*$G126*_xlfn.XLOOKUP($D145,_xlfn.ANCHORARRAY($I$118),$L$118:$L$120,,0)*_xlfn.XLOOKUP($D145,$D$131:$D$133,K$131:K$133,,0)</f>
        <v>2.1908119911650082E-2</v>
      </c>
      <c r="L145" s="10" cm="1">
        <f t="array" ref="L145">+$I$123*$G126*_xlfn.XLOOKUP($D145,_xlfn.ANCHORARRAY($I$118),$L$118:$L$120,,0)*_xlfn.XLOOKUP($D145,$D$131:$D$133,L$131:L$133,,0)</f>
        <v>1.9916472646953728E-2</v>
      </c>
      <c r="M145" s="11" cm="1">
        <f t="array" ref="M145">+$I$123*$G126*_xlfn.XLOOKUP($D145,_xlfn.ANCHORARRAY($I$118),$L$118:$L$120,,0)*_xlfn.XLOOKUP($D145,$D$131:$D$133,M$131:M$133,,0)</f>
        <v>2.9874708970434614E-2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3:24" x14ac:dyDescent="0.3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4" x14ac:dyDescent="0.3">
      <c r="O147" s="19"/>
    </row>
    <row r="148" spans="3:24" ht="15" thickBot="1" x14ac:dyDescent="0.35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4" ht="15" thickBot="1" x14ac:dyDescent="0.35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4" x14ac:dyDescent="0.3">
      <c r="C150" s="20" t="s">
        <v>1</v>
      </c>
      <c r="D150" s="28" t="s">
        <v>51</v>
      </c>
      <c r="E150" s="1">
        <f t="shared" ref="E150:M158" si="36">+E78+E137</f>
        <v>7.6059608113800365</v>
      </c>
      <c r="F150" s="2">
        <f t="shared" si="36"/>
        <v>4.0048767226314359</v>
      </c>
      <c r="G150" s="2">
        <f t="shared" si="36"/>
        <v>7.6059608113800374</v>
      </c>
      <c r="H150" s="2">
        <f t="shared" si="36"/>
        <v>1.092603357886111</v>
      </c>
      <c r="I150" s="2">
        <f t="shared" si="36"/>
        <v>0.44865848209203879</v>
      </c>
      <c r="J150" s="2">
        <f t="shared" si="36"/>
        <v>6.0713088946412697</v>
      </c>
      <c r="K150" s="2">
        <f t="shared" si="36"/>
        <v>2.5823894264156779</v>
      </c>
      <c r="L150" s="2">
        <f t="shared" si="36"/>
        <v>5.5395286393702037</v>
      </c>
      <c r="M150" s="3">
        <f t="shared" si="36"/>
        <v>1.848712854203197</v>
      </c>
      <c r="N150" s="19"/>
      <c r="O150" s="19"/>
    </row>
    <row r="151" spans="3:24" x14ac:dyDescent="0.3">
      <c r="C151" s="20" t="s">
        <v>1</v>
      </c>
      <c r="D151" s="25" t="s">
        <v>52</v>
      </c>
      <c r="E151" s="5">
        <f t="shared" si="36"/>
        <v>7.1392010215487662</v>
      </c>
      <c r="F151" s="6">
        <f t="shared" si="36"/>
        <v>3.7693423907018584</v>
      </c>
      <c r="G151" s="6">
        <f t="shared" si="36"/>
        <v>7.7951293204336931</v>
      </c>
      <c r="H151" s="6">
        <f t="shared" si="36"/>
        <v>4.926527112620696</v>
      </c>
      <c r="I151" s="6">
        <f t="shared" si="36"/>
        <v>1.9909880389640304</v>
      </c>
      <c r="J151" s="6">
        <f t="shared" si="36"/>
        <v>8.6884902824679493</v>
      </c>
      <c r="K151" s="6">
        <f t="shared" si="36"/>
        <v>2.350299473445276</v>
      </c>
      <c r="L151" s="6">
        <f t="shared" si="36"/>
        <v>4.9043783116515582</v>
      </c>
      <c r="M151" s="7">
        <f t="shared" si="36"/>
        <v>6.4356440481661803</v>
      </c>
      <c r="N151" s="19"/>
      <c r="O151" s="19"/>
    </row>
    <row r="152" spans="3:24" x14ac:dyDescent="0.3">
      <c r="C152" s="20" t="s">
        <v>1</v>
      </c>
      <c r="D152" s="25" t="s">
        <v>53</v>
      </c>
      <c r="E152" s="5">
        <f t="shared" si="36"/>
        <v>1.4455577531835702</v>
      </c>
      <c r="F152" s="6">
        <f t="shared" si="36"/>
        <v>0.64299787516812301</v>
      </c>
      <c r="G152" s="6">
        <f t="shared" si="36"/>
        <v>0.73485471447785522</v>
      </c>
      <c r="H152" s="6">
        <f t="shared" si="36"/>
        <v>6.6321286443303293</v>
      </c>
      <c r="I152" s="6">
        <f t="shared" si="36"/>
        <v>4.039113503458033</v>
      </c>
      <c r="J152" s="6">
        <f t="shared" si="36"/>
        <v>3.3961156282899085</v>
      </c>
      <c r="K152" s="6">
        <f t="shared" si="36"/>
        <v>5.9891307691622062</v>
      </c>
      <c r="L152" s="6">
        <f t="shared" si="36"/>
        <v>3.7635429855288365</v>
      </c>
      <c r="M152" s="7">
        <f t="shared" si="36"/>
        <v>6.3565581264011373</v>
      </c>
      <c r="N152" s="19"/>
      <c r="O152" s="19"/>
    </row>
    <row r="153" spans="3:24" x14ac:dyDescent="0.3">
      <c r="C153" s="20" t="s">
        <v>10</v>
      </c>
      <c r="D153" s="25" t="str">
        <f>+D150</f>
        <v>Agr</v>
      </c>
      <c r="E153" s="5">
        <f t="shared" si="36"/>
        <v>8.91432503844959</v>
      </c>
      <c r="F153" s="6">
        <f t="shared" si="36"/>
        <v>5.8408838818836477</v>
      </c>
      <c r="G153" s="6">
        <f t="shared" si="36"/>
        <v>5.3581067979101942</v>
      </c>
      <c r="H153" s="6">
        <f t="shared" si="36"/>
        <v>6.9206713318977666</v>
      </c>
      <c r="I153" s="6">
        <f t="shared" si="36"/>
        <v>9.3971021224230444</v>
      </c>
      <c r="J153" s="6">
        <f t="shared" si="36"/>
        <v>8.3431586281135299</v>
      </c>
      <c r="K153" s="6">
        <f t="shared" si="36"/>
        <v>9.3971021224230444</v>
      </c>
      <c r="L153" s="6">
        <f t="shared" si="36"/>
        <v>9.2570248846512264</v>
      </c>
      <c r="M153" s="7">
        <f t="shared" si="36"/>
        <v>8.5716251922479572</v>
      </c>
      <c r="N153" s="19"/>
      <c r="O153" s="19"/>
    </row>
    <row r="154" spans="3:24" x14ac:dyDescent="0.3">
      <c r="C154" s="20" t="s">
        <v>10</v>
      </c>
      <c r="D154" s="25" t="str">
        <f t="shared" ref="D154:D158" si="37">+D151</f>
        <v>Ind</v>
      </c>
      <c r="E154" s="5">
        <f t="shared" si="36"/>
        <v>4.0676751389508272</v>
      </c>
      <c r="F154" s="6">
        <f t="shared" si="36"/>
        <v>2.2760077753275172</v>
      </c>
      <c r="G154" s="6">
        <f t="shared" si="36"/>
        <v>3.126762438919457</v>
      </c>
      <c r="H154" s="6">
        <f t="shared" si="36"/>
        <v>6.0620253951243672</v>
      </c>
      <c r="I154" s="6">
        <f t="shared" si="36"/>
        <v>6.5680809898301247</v>
      </c>
      <c r="J154" s="6">
        <f t="shared" si="36"/>
        <v>4.092416792140126</v>
      </c>
      <c r="K154" s="6">
        <f t="shared" si="36"/>
        <v>8.6908891789860068</v>
      </c>
      <c r="L154" s="6">
        <f t="shared" si="36"/>
        <v>2.3909074649562445</v>
      </c>
      <c r="M154" s="7">
        <f t="shared" si="36"/>
        <v>7.7252348257653409</v>
      </c>
      <c r="N154" s="19"/>
      <c r="O154" s="19"/>
    </row>
    <row r="155" spans="3:24" x14ac:dyDescent="0.3">
      <c r="C155" s="20" t="s">
        <v>10</v>
      </c>
      <c r="D155" s="25" t="str">
        <f t="shared" si="37"/>
        <v>Serv</v>
      </c>
      <c r="E155" s="5">
        <f t="shared" si="36"/>
        <v>5.8006292026298523</v>
      </c>
      <c r="F155" s="6">
        <f t="shared" si="36"/>
        <v>4.2381856838995287</v>
      </c>
      <c r="G155" s="6">
        <f t="shared" si="36"/>
        <v>3.6243659562716681</v>
      </c>
      <c r="H155" s="6">
        <f t="shared" si="36"/>
        <v>2.4648742167482163</v>
      </c>
      <c r="I155" s="6">
        <f t="shared" si="36"/>
        <v>7.667703799211159</v>
      </c>
      <c r="J155" s="6">
        <f t="shared" si="36"/>
        <v>2.0070308190958719</v>
      </c>
      <c r="K155" s="6">
        <f t="shared" si="36"/>
        <v>1.7829067733880861</v>
      </c>
      <c r="L155" s="6">
        <f t="shared" si="36"/>
        <v>5.2417010934474657</v>
      </c>
      <c r="M155" s="7">
        <f t="shared" si="36"/>
        <v>2.1726024553081644</v>
      </c>
      <c r="N155" s="19"/>
    </row>
    <row r="156" spans="3:24" x14ac:dyDescent="0.3">
      <c r="C156" s="20" t="s">
        <v>11</v>
      </c>
      <c r="D156" s="25" t="str">
        <f t="shared" si="37"/>
        <v>Agr</v>
      </c>
      <c r="E156" s="5">
        <f t="shared" si="36"/>
        <v>4.36762623808246</v>
      </c>
      <c r="F156" s="6">
        <f t="shared" si="36"/>
        <v>9.1432503844959054</v>
      </c>
      <c r="G156" s="6">
        <f t="shared" si="36"/>
        <v>7.9238444786218594</v>
      </c>
      <c r="H156" s="6">
        <f t="shared" si="36"/>
        <v>8.1273846508754577</v>
      </c>
      <c r="I156" s="6">
        <f t="shared" si="36"/>
        <v>9.1432503844959054</v>
      </c>
      <c r="J156" s="6">
        <f t="shared" si="36"/>
        <v>1.7261918179045459</v>
      </c>
      <c r="K156" s="6">
        <f t="shared" si="36"/>
        <v>7.0095194401722694</v>
      </c>
      <c r="L156" s="6">
        <f t="shared" si="36"/>
        <v>8.9397102122423036</v>
      </c>
      <c r="M156" s="7">
        <f t="shared" si="36"/>
        <v>7.6192223931092959</v>
      </c>
      <c r="N156" s="19"/>
    </row>
    <row r="157" spans="3:24" x14ac:dyDescent="0.3">
      <c r="C157" s="20" t="s">
        <v>11</v>
      </c>
      <c r="D157" s="25" t="str">
        <f t="shared" si="37"/>
        <v>Ind</v>
      </c>
      <c r="E157" s="5">
        <f t="shared" si="36"/>
        <v>1.8283752722197957</v>
      </c>
      <c r="F157" s="6">
        <f t="shared" si="36"/>
        <v>6.9507330081129162</v>
      </c>
      <c r="G157" s="6">
        <f t="shared" si="36"/>
        <v>1.0744927090858925</v>
      </c>
      <c r="H157" s="6">
        <f t="shared" si="36"/>
        <v>8.0057229006167443</v>
      </c>
      <c r="I157" s="6">
        <f t="shared" si="36"/>
        <v>0.43821932253512691</v>
      </c>
      <c r="J157" s="6">
        <f t="shared" si="36"/>
        <v>1.214874805237474</v>
      </c>
      <c r="K157" s="6">
        <f t="shared" si="36"/>
        <v>6.9533880502272813</v>
      </c>
      <c r="L157" s="6">
        <f t="shared" si="36"/>
        <v>8.6998935146442431</v>
      </c>
      <c r="M157" s="7">
        <f t="shared" si="36"/>
        <v>1.8343004173205446</v>
      </c>
      <c r="N157" s="19"/>
    </row>
    <row r="158" spans="3:24" x14ac:dyDescent="0.3">
      <c r="C158" s="20" t="s">
        <v>11</v>
      </c>
      <c r="D158" s="25" t="str">
        <f t="shared" si="37"/>
        <v>Serv</v>
      </c>
      <c r="E158" s="9">
        <f t="shared" si="36"/>
        <v>8.6894085754608703</v>
      </c>
      <c r="F158" s="10">
        <f t="shared" si="36"/>
        <v>2.1239395236718916</v>
      </c>
      <c r="G158" s="10">
        <f t="shared" si="36"/>
        <v>3.6466342809528132</v>
      </c>
      <c r="H158" s="10">
        <f t="shared" si="36"/>
        <v>8.9161707802517096</v>
      </c>
      <c r="I158" s="10">
        <f t="shared" si="36"/>
        <v>1.3026969938471047</v>
      </c>
      <c r="J158" s="10">
        <f t="shared" si="36"/>
        <v>0.60124476639097202</v>
      </c>
      <c r="K158" s="10">
        <f t="shared" si="36"/>
        <v>3.2360130160404195</v>
      </c>
      <c r="L158" s="10">
        <f t="shared" si="36"/>
        <v>1.0020746106516187</v>
      </c>
      <c r="M158" s="11">
        <f t="shared" si="36"/>
        <v>6.4818174527325896</v>
      </c>
      <c r="N158" s="19"/>
    </row>
    <row r="159" spans="3:24" x14ac:dyDescent="0.3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406.7999999999999</v>
      </c>
    </row>
    <row r="161" spans="1:13" x14ac:dyDescent="0.3">
      <c r="A161" s="66"/>
    </row>
    <row r="162" spans="1:13" ht="15" thickBot="1" x14ac:dyDescent="0.35">
      <c r="A162" s="68" t="s">
        <v>41</v>
      </c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ht="15" thickBot="1" x14ac:dyDescent="0.35">
      <c r="D163" s="23"/>
      <c r="E163" s="27"/>
      <c r="F163" s="26"/>
      <c r="G163" s="26"/>
      <c r="H163" s="26"/>
      <c r="I163" s="26"/>
      <c r="J163" s="26"/>
      <c r="K163" s="26"/>
      <c r="L163" s="26"/>
      <c r="M163" s="26"/>
    </row>
    <row r="164" spans="1:13" x14ac:dyDescent="0.3">
      <c r="D164" s="28"/>
      <c r="E164" s="1"/>
      <c r="F164" s="2"/>
      <c r="G164" s="2"/>
      <c r="H164" s="2"/>
      <c r="I164" s="2"/>
      <c r="J164" s="2"/>
      <c r="K164" s="2"/>
      <c r="L164" s="2"/>
      <c r="M164" s="3"/>
    </row>
    <row r="165" spans="1:13" x14ac:dyDescent="0.3">
      <c r="D165" s="25"/>
      <c r="E165" s="5"/>
      <c r="F165" s="6"/>
      <c r="G165" s="6"/>
      <c r="H165" s="6"/>
      <c r="I165" s="6"/>
      <c r="J165" s="6"/>
      <c r="K165" s="6"/>
      <c r="L165" s="6"/>
      <c r="M165" s="7"/>
    </row>
    <row r="166" spans="1:13" x14ac:dyDescent="0.3">
      <c r="D166" s="25"/>
      <c r="E166" s="9"/>
      <c r="F166" s="10"/>
      <c r="G166" s="10"/>
      <c r="H166" s="10"/>
      <c r="I166" s="10"/>
      <c r="J166" s="10"/>
      <c r="K166" s="10"/>
      <c r="L166" s="10"/>
      <c r="M166" s="11"/>
    </row>
    <row r="167" spans="1:13" x14ac:dyDescent="0.3">
      <c r="D167" s="25"/>
      <c r="E167" s="70"/>
      <c r="F167" s="71"/>
      <c r="G167" s="71"/>
      <c r="H167" s="71"/>
      <c r="I167" s="71"/>
      <c r="J167" s="71"/>
      <c r="K167" s="71"/>
      <c r="L167" s="71"/>
      <c r="M167" s="72"/>
    </row>
    <row r="169" spans="1:13" ht="15" thickBot="1" x14ac:dyDescent="0.35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</row>
    <row r="170" spans="1:13" ht="15" thickBot="1" x14ac:dyDescent="0.35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</row>
    <row r="171" spans="1:13" x14ac:dyDescent="0.3">
      <c r="D171" s="28" t="str" cm="1">
        <f t="array" ref="D171:D173">+_xlfn.UNIQUE($D$150:$D$158)</f>
        <v>Agr</v>
      </c>
      <c r="E171" s="1">
        <f>+IO_sub_model!E171</f>
        <v>0.30985915492957744</v>
      </c>
      <c r="F171" s="2">
        <f>+IO_sub_model!F171</f>
        <v>0.36363636363636365</v>
      </c>
      <c r="G171" s="2">
        <f>+IO_sub_model!G171</f>
        <v>0.46808510638297873</v>
      </c>
      <c r="H171" s="2">
        <f>+IO_sub_model!H171</f>
        <v>0.2073170731707317</v>
      </c>
      <c r="I171" s="2">
        <f>+IO_sub_model!I171</f>
        <v>0.4</v>
      </c>
      <c r="J171" s="2">
        <f>+IO_sub_model!J171</f>
        <v>0.30909090909090908</v>
      </c>
      <c r="K171" s="2">
        <f>+IO_sub_model!K171</f>
        <v>0.25316455696202533</v>
      </c>
      <c r="L171" s="2">
        <f>+IO_sub_model!L171</f>
        <v>0.38461538461538464</v>
      </c>
      <c r="M171" s="3">
        <f>+IO_sub_model!M171</f>
        <v>0.31666666666666665</v>
      </c>
    </row>
    <row r="172" spans="1:13" x14ac:dyDescent="0.3">
      <c r="D172" s="25" t="str">
        <v>Ind</v>
      </c>
      <c r="E172" s="5">
        <f>+IO_sub_model!E172</f>
        <v>0.18309859154929578</v>
      </c>
      <c r="F172" s="6">
        <f>+IO_sub_model!F172</f>
        <v>0.23636363636363636</v>
      </c>
      <c r="G172" s="6">
        <f>+IO_sub_model!G172</f>
        <v>0.25531914893617019</v>
      </c>
      <c r="H172" s="6">
        <f>+IO_sub_model!H172</f>
        <v>0.23170731707317074</v>
      </c>
      <c r="I172" s="6">
        <f>+IO_sub_model!I172</f>
        <v>0.18</v>
      </c>
      <c r="J172" s="6">
        <f>+IO_sub_model!J172</f>
        <v>0.25454545454545452</v>
      </c>
      <c r="K172" s="6">
        <f>+IO_sub_model!K172</f>
        <v>0.22784810126582278</v>
      </c>
      <c r="L172" s="6">
        <f>+IO_sub_model!L172</f>
        <v>0.24615384615384617</v>
      </c>
      <c r="M172" s="7">
        <f>+IO_sub_model!M172</f>
        <v>0.26666666666666666</v>
      </c>
    </row>
    <row r="173" spans="1:13" x14ac:dyDescent="0.3">
      <c r="D173" s="25" t="str">
        <v>Serv</v>
      </c>
      <c r="E173" s="9">
        <f>+IO_sub_model!E173</f>
        <v>0.22535211267605634</v>
      </c>
      <c r="F173" s="10">
        <f>+IO_sub_model!F173</f>
        <v>0.12727272727272726</v>
      </c>
      <c r="G173" s="10">
        <f>+IO_sub_model!G173</f>
        <v>0.1702127659574468</v>
      </c>
      <c r="H173" s="10">
        <f>+IO_sub_model!H173</f>
        <v>0.21951219512195122</v>
      </c>
      <c r="I173" s="10">
        <f>+IO_sub_model!I173</f>
        <v>0.26</v>
      </c>
      <c r="J173" s="10">
        <f>+IO_sub_model!J173</f>
        <v>0.10909090909090909</v>
      </c>
      <c r="K173" s="10">
        <f>+IO_sub_model!K173</f>
        <v>0.13924050632911392</v>
      </c>
      <c r="L173" s="10">
        <f>+IO_sub_model!L173</f>
        <v>0.15384615384615385</v>
      </c>
      <c r="M173" s="11">
        <f>+IO_sub_model!M173</f>
        <v>0.25</v>
      </c>
    </row>
    <row r="175" spans="1:13" ht="15" thickBot="1" x14ac:dyDescent="0.35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</row>
    <row r="176" spans="1:13" ht="15" thickBot="1" x14ac:dyDescent="0.35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</row>
    <row r="177" spans="2:14" x14ac:dyDescent="0.3">
      <c r="D177" s="28" t="str" cm="1">
        <f t="array" ref="D177:D179">+_xlfn.UNIQUE($D$150:$D$158)</f>
        <v>Agr</v>
      </c>
      <c r="E177" s="1">
        <f>+SUMIF($D$150:$D$158,$D177,E$150:E$158)</f>
        <v>20.887912087912085</v>
      </c>
      <c r="F177" s="2">
        <f t="shared" ref="F177:M179" si="38">+SUMIF($D$150:$D$158,$D177,F$150:F$158)</f>
        <v>18.989010989010989</v>
      </c>
      <c r="G177" s="2">
        <f t="shared" si="38"/>
        <v>20.887912087912092</v>
      </c>
      <c r="H177" s="2">
        <f t="shared" si="38"/>
        <v>16.140659340659333</v>
      </c>
      <c r="I177" s="2">
        <f t="shared" si="38"/>
        <v>18.989010989010989</v>
      </c>
      <c r="J177" s="2">
        <f t="shared" si="38"/>
        <v>16.140659340659347</v>
      </c>
      <c r="K177" s="2">
        <f t="shared" si="38"/>
        <v>18.989010989010993</v>
      </c>
      <c r="L177" s="2">
        <f t="shared" si="38"/>
        <v>23.736263736263734</v>
      </c>
      <c r="M177" s="3">
        <f t="shared" si="38"/>
        <v>18.03956043956045</v>
      </c>
    </row>
    <row r="178" spans="2:14" x14ac:dyDescent="0.3">
      <c r="D178" s="25" t="str">
        <v>Ind</v>
      </c>
      <c r="E178" s="5">
        <f t="shared" ref="E178:E179" si="39">+SUMIF($D$150:$D$158,$D178,E$150:E$158)</f>
        <v>13.03525143271939</v>
      </c>
      <c r="F178" s="6">
        <f t="shared" si="38"/>
        <v>12.996083174142292</v>
      </c>
      <c r="G178" s="6">
        <f t="shared" si="38"/>
        <v>11.996384468439043</v>
      </c>
      <c r="H178" s="6">
        <f t="shared" si="38"/>
        <v>18.994275408361808</v>
      </c>
      <c r="I178" s="6">
        <f t="shared" si="38"/>
        <v>8.9972883513292832</v>
      </c>
      <c r="J178" s="6">
        <f t="shared" si="38"/>
        <v>13.995781879845548</v>
      </c>
      <c r="K178" s="6">
        <f t="shared" si="38"/>
        <v>17.994576702658563</v>
      </c>
      <c r="L178" s="6">
        <f t="shared" si="38"/>
        <v>15.995179291252047</v>
      </c>
      <c r="M178" s="7">
        <f t="shared" si="38"/>
        <v>15.995179291252066</v>
      </c>
    </row>
    <row r="179" spans="2:14" x14ac:dyDescent="0.3">
      <c r="D179" s="25" t="str">
        <v>Serv</v>
      </c>
      <c r="E179" s="9">
        <f t="shared" si="39"/>
        <v>15.935595531274293</v>
      </c>
      <c r="F179" s="10">
        <f t="shared" si="38"/>
        <v>7.0051230827395434</v>
      </c>
      <c r="G179" s="10">
        <f t="shared" si="38"/>
        <v>8.0058549517023359</v>
      </c>
      <c r="H179" s="10">
        <f t="shared" si="38"/>
        <v>18.013173641330255</v>
      </c>
      <c r="I179" s="10">
        <f t="shared" si="38"/>
        <v>13.009514296516297</v>
      </c>
      <c r="J179" s="10">
        <f t="shared" si="38"/>
        <v>6.0043912137767528</v>
      </c>
      <c r="K179" s="10">
        <f t="shared" si="38"/>
        <v>11.00805055859071</v>
      </c>
      <c r="L179" s="10">
        <f t="shared" si="38"/>
        <v>10.007318689627921</v>
      </c>
      <c r="M179" s="11">
        <f t="shared" si="38"/>
        <v>15.010978034441891</v>
      </c>
    </row>
    <row r="181" spans="2:14" x14ac:dyDescent="0.3">
      <c r="E181" s="1">
        <f>+E177/E171</f>
        <v>67.410989010989013</v>
      </c>
      <c r="F181" s="2">
        <f t="shared" ref="F181:M181" si="40">+F177/F171</f>
        <v>52.219780219780219</v>
      </c>
      <c r="G181" s="2">
        <f t="shared" si="40"/>
        <v>44.624175824175829</v>
      </c>
      <c r="H181" s="2">
        <f t="shared" si="40"/>
        <v>77.85494505494502</v>
      </c>
      <c r="I181" s="2">
        <f t="shared" si="40"/>
        <v>47.472527472527467</v>
      </c>
      <c r="J181" s="2">
        <f t="shared" si="40"/>
        <v>52.21978021978024</v>
      </c>
      <c r="K181" s="2">
        <f t="shared" si="40"/>
        <v>75.00659340659341</v>
      </c>
      <c r="L181" s="2">
        <f t="shared" si="40"/>
        <v>61.714285714285701</v>
      </c>
      <c r="M181" s="3">
        <f t="shared" si="40"/>
        <v>56.967032967033006</v>
      </c>
    </row>
    <row r="182" spans="2:14" x14ac:dyDescent="0.3">
      <c r="E182" s="5">
        <f t="shared" ref="E182:M183" si="41">+E178/E172</f>
        <v>71.192527055621284</v>
      </c>
      <c r="F182" s="6">
        <f t="shared" si="41"/>
        <v>54.983428813678927</v>
      </c>
      <c r="G182" s="6">
        <f t="shared" si="41"/>
        <v>46.985839168052919</v>
      </c>
      <c r="H182" s="6">
        <f t="shared" si="41"/>
        <v>81.97529386766675</v>
      </c>
      <c r="I182" s="6">
        <f t="shared" si="41"/>
        <v>49.984935285162685</v>
      </c>
      <c r="J182" s="6">
        <f t="shared" si="41"/>
        <v>54.983428813678948</v>
      </c>
      <c r="K182" s="6">
        <f t="shared" si="41"/>
        <v>78.976197750557034</v>
      </c>
      <c r="L182" s="6">
        <f t="shared" si="41"/>
        <v>64.98041587071144</v>
      </c>
      <c r="M182" s="7">
        <f t="shared" si="41"/>
        <v>59.981922342195247</v>
      </c>
    </row>
    <row r="183" spans="2:14" x14ac:dyDescent="0.3">
      <c r="E183" s="73">
        <f t="shared" si="41"/>
        <v>70.714205170029672</v>
      </c>
      <c r="F183" s="74">
        <f t="shared" si="41"/>
        <v>55.040252792953559</v>
      </c>
      <c r="G183" s="74">
        <f t="shared" si="41"/>
        <v>47.034397841251227</v>
      </c>
      <c r="H183" s="74">
        <f t="shared" si="41"/>
        <v>82.060013254948942</v>
      </c>
      <c r="I183" s="74">
        <f t="shared" si="41"/>
        <v>50.036593448139605</v>
      </c>
      <c r="J183" s="74">
        <f t="shared" si="41"/>
        <v>55.040252792953567</v>
      </c>
      <c r="K183" s="74">
        <f t="shared" si="41"/>
        <v>79.057817648060563</v>
      </c>
      <c r="L183" s="74">
        <f t="shared" si="41"/>
        <v>65.047571482581475</v>
      </c>
      <c r="M183" s="75">
        <f t="shared" si="41"/>
        <v>60.043912137767563</v>
      </c>
    </row>
    <row r="184" spans="2:14" x14ac:dyDescent="0.3">
      <c r="D184" s="25" t="s">
        <v>47</v>
      </c>
      <c r="E184" s="13">
        <f>+MIN(E181:E183)</f>
        <v>67.410989010989013</v>
      </c>
      <c r="F184" s="14">
        <f t="shared" ref="F184:M184" si="42">+MIN(F181:F183)</f>
        <v>52.219780219780219</v>
      </c>
      <c r="G184" s="14">
        <f t="shared" si="42"/>
        <v>44.624175824175829</v>
      </c>
      <c r="H184" s="14">
        <f t="shared" si="42"/>
        <v>77.85494505494502</v>
      </c>
      <c r="I184" s="14">
        <f t="shared" si="42"/>
        <v>47.472527472527467</v>
      </c>
      <c r="J184" s="14">
        <f t="shared" si="42"/>
        <v>52.21978021978024</v>
      </c>
      <c r="K184" s="14">
        <f t="shared" si="42"/>
        <v>75.00659340659341</v>
      </c>
      <c r="L184" s="14">
        <f t="shared" si="42"/>
        <v>61.714285714285701</v>
      </c>
      <c r="M184" s="15">
        <f t="shared" si="42"/>
        <v>56.967032967033006</v>
      </c>
      <c r="N184" s="19">
        <f>+SUM(E184:M184)</f>
        <v>535.49010989011003</v>
      </c>
    </row>
    <row r="187" spans="2:14" x14ac:dyDescent="0.3">
      <c r="C187" s="115" t="s">
        <v>61</v>
      </c>
      <c r="D187" s="77" t="s">
        <v>48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</row>
    <row r="188" spans="2:14" x14ac:dyDescent="0.3">
      <c r="B188" s="18" cm="1">
        <f t="array" ref="B188:B196">+TRANSPOSE(E184:M184)</f>
        <v>67.410989010989013</v>
      </c>
      <c r="C188" s="5" cm="1">
        <f t="array" ref="C188:C196">+H47:H55</f>
        <v>30.145679753362558</v>
      </c>
      <c r="D188" s="79">
        <f>+G188-SUM(E150:M150)</f>
        <v>30.145679753362558</v>
      </c>
      <c r="E188" s="117">
        <f>+C188-D188</f>
        <v>0</v>
      </c>
      <c r="F188" s="78">
        <f>+SUM(E150:M150)+C188</f>
        <v>66.945679753362569</v>
      </c>
      <c r="G188" s="79">
        <f>+MIN(B188,F188)</f>
        <v>66.945679753362569</v>
      </c>
      <c r="H188" s="117">
        <f>+F188-G188</f>
        <v>0</v>
      </c>
      <c r="I188" s="120" t="b">
        <f>+H188&lt;0.001</f>
        <v>1</v>
      </c>
    </row>
    <row r="189" spans="2:14" x14ac:dyDescent="0.3">
      <c r="B189" s="18">
        <v>52.219780219780219</v>
      </c>
      <c r="C189" s="5">
        <v>4.2693422093689577</v>
      </c>
      <c r="D189" s="79">
        <f t="shared" ref="D189:D196" si="43">+G189-SUM(E151:M151)</f>
        <v>4.2197802197802119</v>
      </c>
      <c r="E189" s="117">
        <f t="shared" ref="E189:E196" si="44">+C189-D189</f>
        <v>4.9561989588745803E-2</v>
      </c>
      <c r="F189" s="78">
        <f t="shared" ref="F189:F196" si="45">+SUM(E151:M151)+C189</f>
        <v>52.269342209368965</v>
      </c>
      <c r="G189" s="79">
        <f t="shared" ref="G189:G196" si="46">+MIN(B189,F189)</f>
        <v>52.219780219780219</v>
      </c>
      <c r="H189" s="117">
        <f t="shared" ref="H189:H196" si="47">+F189-G189</f>
        <v>4.9561989588745803E-2</v>
      </c>
      <c r="I189" s="120" t="b">
        <f t="shared" ref="I189:I196" si="48">+H189&lt;0.001</f>
        <v>0</v>
      </c>
    </row>
    <row r="190" spans="2:14" x14ac:dyDescent="0.3">
      <c r="B190" s="18">
        <v>44.624175824175829</v>
      </c>
      <c r="C190" s="5">
        <v>11.666528797097115</v>
      </c>
      <c r="D190" s="79">
        <f t="shared" si="43"/>
        <v>11.624175824175829</v>
      </c>
      <c r="E190" s="117">
        <f t="shared" si="44"/>
        <v>4.2352972921285925E-2</v>
      </c>
      <c r="F190" s="78">
        <f t="shared" si="45"/>
        <v>44.666528797097115</v>
      </c>
      <c r="G190" s="79">
        <f t="shared" si="46"/>
        <v>44.624175824175829</v>
      </c>
      <c r="H190" s="117">
        <f t="shared" si="47"/>
        <v>4.2352972921285925E-2</v>
      </c>
      <c r="I190" s="120" t="b">
        <f t="shared" si="48"/>
        <v>0</v>
      </c>
    </row>
    <row r="191" spans="2:14" x14ac:dyDescent="0.3">
      <c r="B191" s="18">
        <v>77.85494505494502</v>
      </c>
      <c r="C191" s="5">
        <v>5.9288374757864375</v>
      </c>
      <c r="D191" s="79">
        <f t="shared" si="43"/>
        <v>5.8549450549450199</v>
      </c>
      <c r="E191" s="117">
        <f t="shared" si="44"/>
        <v>7.3892420841417561E-2</v>
      </c>
      <c r="F191" s="78">
        <f t="shared" si="45"/>
        <v>77.928837475786437</v>
      </c>
      <c r="G191" s="79">
        <f t="shared" si="46"/>
        <v>77.85494505494502</v>
      </c>
      <c r="H191" s="117">
        <f t="shared" si="47"/>
        <v>7.3892420841417561E-2</v>
      </c>
      <c r="I191" s="120" t="b">
        <f t="shared" si="48"/>
        <v>0</v>
      </c>
    </row>
    <row r="192" spans="2:14" x14ac:dyDescent="0.3">
      <c r="B192" s="18">
        <v>47.472527472527467</v>
      </c>
      <c r="C192" s="5">
        <v>2.5175838266990382</v>
      </c>
      <c r="D192" s="79">
        <f t="shared" si="43"/>
        <v>2.4725274725274602</v>
      </c>
      <c r="E192" s="117">
        <f t="shared" si="44"/>
        <v>4.505635417157805E-2</v>
      </c>
      <c r="F192" s="78">
        <f t="shared" si="45"/>
        <v>47.517583826699045</v>
      </c>
      <c r="G192" s="79">
        <f t="shared" si="46"/>
        <v>47.472527472527467</v>
      </c>
      <c r="H192" s="117">
        <f t="shared" si="47"/>
        <v>4.505635417157805E-2</v>
      </c>
      <c r="I192" s="120" t="b">
        <f t="shared" si="48"/>
        <v>0</v>
      </c>
    </row>
    <row r="193" spans="2:13" x14ac:dyDescent="0.3">
      <c r="B193" s="18">
        <v>52.21978021978024</v>
      </c>
      <c r="C193" s="5">
        <v>17.269342209368943</v>
      </c>
      <c r="D193" s="79">
        <f t="shared" si="43"/>
        <v>17.219780219780233</v>
      </c>
      <c r="E193" s="117">
        <f t="shared" si="44"/>
        <v>4.9561989588710276E-2</v>
      </c>
      <c r="F193" s="78">
        <f t="shared" si="45"/>
        <v>52.269342209368951</v>
      </c>
      <c r="G193" s="79">
        <f t="shared" si="46"/>
        <v>52.21978021978024</v>
      </c>
      <c r="H193" s="117">
        <f t="shared" si="47"/>
        <v>4.9561989588710276E-2</v>
      </c>
      <c r="I193" s="120" t="b">
        <f t="shared" si="48"/>
        <v>0</v>
      </c>
    </row>
    <row r="194" spans="2:13" x14ac:dyDescent="0.3">
      <c r="B194" s="18">
        <v>75.00659340659341</v>
      </c>
      <c r="C194" s="5">
        <v>11.0777824461845</v>
      </c>
      <c r="D194" s="79">
        <f t="shared" si="43"/>
        <v>11.00659340659341</v>
      </c>
      <c r="E194" s="117">
        <f t="shared" si="44"/>
        <v>7.1189039591089909E-2</v>
      </c>
      <c r="F194" s="78">
        <f t="shared" si="45"/>
        <v>75.0777824461845</v>
      </c>
      <c r="G194" s="79">
        <f t="shared" si="46"/>
        <v>75.00659340659341</v>
      </c>
      <c r="H194" s="117">
        <f t="shared" si="47"/>
        <v>7.1189039591089909E-2</v>
      </c>
      <c r="I194" s="120" t="b">
        <f t="shared" si="48"/>
        <v>0</v>
      </c>
    </row>
    <row r="195" spans="2:13" x14ac:dyDescent="0.3">
      <c r="B195" s="18">
        <v>61.714285714285701</v>
      </c>
      <c r="C195" s="5">
        <v>24.772858974708754</v>
      </c>
      <c r="D195" s="79">
        <f t="shared" si="43"/>
        <v>24.714285714285687</v>
      </c>
      <c r="E195" s="117">
        <f t="shared" si="44"/>
        <v>5.8573260423067097E-2</v>
      </c>
      <c r="F195" s="78">
        <f t="shared" si="45"/>
        <v>61.772858974708768</v>
      </c>
      <c r="G195" s="79">
        <f t="shared" si="46"/>
        <v>61.714285714285701</v>
      </c>
      <c r="H195" s="117">
        <f t="shared" si="47"/>
        <v>5.8573260423067097E-2</v>
      </c>
      <c r="I195" s="120" t="b">
        <f t="shared" si="48"/>
        <v>0</v>
      </c>
    </row>
    <row r="196" spans="2:13" x14ac:dyDescent="0.3">
      <c r="B196" s="18">
        <v>56.967032967033006</v>
      </c>
      <c r="C196" s="9">
        <v>21.021100592038863</v>
      </c>
      <c r="D196" s="81">
        <f t="shared" si="43"/>
        <v>20.967032967033013</v>
      </c>
      <c r="E196" s="118">
        <f t="shared" si="44"/>
        <v>5.4067625005849607E-2</v>
      </c>
      <c r="F196" s="80">
        <f t="shared" si="45"/>
        <v>57.021100592038856</v>
      </c>
      <c r="G196" s="81">
        <f t="shared" si="46"/>
        <v>56.967032967033006</v>
      </c>
      <c r="H196" s="118">
        <f t="shared" si="47"/>
        <v>5.4067625005849607E-2</v>
      </c>
      <c r="I196" s="120" t="b">
        <f t="shared" si="48"/>
        <v>0</v>
      </c>
    </row>
    <row r="198" spans="2:13" ht="15" thickBot="1" x14ac:dyDescent="0.35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13" ht="15" thickBot="1" x14ac:dyDescent="0.35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13" x14ac:dyDescent="0.3">
      <c r="C200" s="20" t="s">
        <v>1</v>
      </c>
      <c r="D200" s="28" t="s">
        <v>51</v>
      </c>
      <c r="E200" s="1">
        <f t="shared" ref="E200:M208" si="49">+E150/E$184</f>
        <v>0.11282968731018246</v>
      </c>
      <c r="F200" s="2">
        <f t="shared" si="49"/>
        <v>7.6692715016721522E-2</v>
      </c>
      <c r="G200" s="2">
        <f t="shared" si="49"/>
        <v>0.17044484678772245</v>
      </c>
      <c r="H200" s="2">
        <f t="shared" si="49"/>
        <v>1.4033833780436447E-2</v>
      </c>
      <c r="I200" s="2">
        <f t="shared" si="49"/>
        <v>9.4509078403647064E-3</v>
      </c>
      <c r="J200" s="2">
        <f t="shared" si="49"/>
        <v>0.11626454322650574</v>
      </c>
      <c r="K200" s="2">
        <f t="shared" si="49"/>
        <v>3.4428832308343101E-2</v>
      </c>
      <c r="L200" s="2">
        <f t="shared" si="49"/>
        <v>8.976088073053573E-2</v>
      </c>
      <c r="M200" s="3">
        <f t="shared" si="49"/>
        <v>3.2452328266298382E-2</v>
      </c>
    </row>
    <row r="201" spans="2:13" x14ac:dyDescent="0.3">
      <c r="C201" s="20" t="s">
        <v>1</v>
      </c>
      <c r="D201" s="25" t="s">
        <v>52</v>
      </c>
      <c r="E201" s="5">
        <f t="shared" si="49"/>
        <v>0.10590559679201514</v>
      </c>
      <c r="F201" s="6">
        <f t="shared" si="49"/>
        <v>7.2182272212514539E-2</v>
      </c>
      <c r="G201" s="6">
        <f t="shared" si="49"/>
        <v>0.17468399531113721</v>
      </c>
      <c r="H201" s="6">
        <f t="shared" si="49"/>
        <v>6.3278281285072763E-2</v>
      </c>
      <c r="I201" s="6">
        <f t="shared" si="49"/>
        <v>4.1939794339288607E-2</v>
      </c>
      <c r="J201" s="6">
        <f t="shared" si="49"/>
        <v>0.16638312620045939</v>
      </c>
      <c r="K201" s="6">
        <f t="shared" si="49"/>
        <v>3.1334571624988296E-2</v>
      </c>
      <c r="L201" s="6">
        <f t="shared" si="49"/>
        <v>7.9469093012872485E-2</v>
      </c>
      <c r="M201" s="7">
        <f t="shared" si="49"/>
        <v>0.1129713750739047</v>
      </c>
    </row>
    <row r="202" spans="2:13" x14ac:dyDescent="0.3">
      <c r="C202" s="20" t="s">
        <v>1</v>
      </c>
      <c r="D202" s="25" t="s">
        <v>53</v>
      </c>
      <c r="E202" s="5">
        <f t="shared" si="49"/>
        <v>2.1443948151360342E-2</v>
      </c>
      <c r="F202" s="6">
        <f t="shared" si="49"/>
        <v>1.2313301060669022E-2</v>
      </c>
      <c r="G202" s="6">
        <f t="shared" si="49"/>
        <v>1.6467636676882589E-2</v>
      </c>
      <c r="H202" s="6">
        <f t="shared" si="49"/>
        <v>8.5185708366370294E-2</v>
      </c>
      <c r="I202" s="6">
        <f t="shared" si="49"/>
        <v>8.5083177966361348E-2</v>
      </c>
      <c r="J202" s="6">
        <f t="shared" si="49"/>
        <v>6.5035042545113969E-2</v>
      </c>
      <c r="K202" s="6">
        <f t="shared" si="49"/>
        <v>7.9848057312728662E-2</v>
      </c>
      <c r="L202" s="6">
        <f t="shared" si="49"/>
        <v>6.0983335413661716E-2</v>
      </c>
      <c r="M202" s="7">
        <f t="shared" si="49"/>
        <v>0.11158309982687174</v>
      </c>
    </row>
    <row r="203" spans="2:13" x14ac:dyDescent="0.3">
      <c r="C203" s="20" t="s">
        <v>10</v>
      </c>
      <c r="D203" s="25" t="str">
        <f>+D200</f>
        <v>Agr</v>
      </c>
      <c r="E203" s="5">
        <f t="shared" si="49"/>
        <v>0.13223845502394899</v>
      </c>
      <c r="F203" s="6">
        <f t="shared" si="49"/>
        <v>0.11185194302428703</v>
      </c>
      <c r="G203" s="6">
        <f t="shared" si="49"/>
        <v>0.12007183771912619</v>
      </c>
      <c r="H203" s="6">
        <f t="shared" si="49"/>
        <v>8.8891865854039215E-2</v>
      </c>
      <c r="I203" s="6">
        <f t="shared" si="49"/>
        <v>0.19794821600474471</v>
      </c>
      <c r="J203" s="6">
        <f t="shared" si="49"/>
        <v>0.15977008315621441</v>
      </c>
      <c r="K203" s="6">
        <f t="shared" si="49"/>
        <v>0.12528368101566117</v>
      </c>
      <c r="L203" s="6">
        <f t="shared" si="49"/>
        <v>0.14999808840870046</v>
      </c>
      <c r="M203" s="7">
        <f t="shared" si="49"/>
        <v>0.15046641444725378</v>
      </c>
    </row>
    <row r="204" spans="2:13" x14ac:dyDescent="0.3">
      <c r="C204" s="20" t="s">
        <v>10</v>
      </c>
      <c r="D204" s="25" t="str">
        <f t="shared" ref="D204:D208" si="50">+D201</f>
        <v>Ind</v>
      </c>
      <c r="E204" s="5">
        <f t="shared" si="49"/>
        <v>6.0341425020299502E-2</v>
      </c>
      <c r="F204" s="6">
        <f t="shared" si="49"/>
        <v>4.3585165731229815E-2</v>
      </c>
      <c r="G204" s="6">
        <f t="shared" si="49"/>
        <v>7.00687997295288E-2</v>
      </c>
      <c r="H204" s="6">
        <f t="shared" si="49"/>
        <v>7.7863074604267959E-2</v>
      </c>
      <c r="I204" s="6">
        <f t="shared" si="49"/>
        <v>0.13835540973947719</v>
      </c>
      <c r="J204" s="6">
        <f t="shared" si="49"/>
        <v>7.836909261042746E-2</v>
      </c>
      <c r="K204" s="6">
        <f t="shared" si="49"/>
        <v>0.11586833615912544</v>
      </c>
      <c r="L204" s="6">
        <f t="shared" si="49"/>
        <v>3.874155614512434E-2</v>
      </c>
      <c r="M204" s="7">
        <f t="shared" si="49"/>
        <v>0.13560886750475415</v>
      </c>
    </row>
    <row r="205" spans="2:13" x14ac:dyDescent="0.3">
      <c r="C205" s="20" t="s">
        <v>10</v>
      </c>
      <c r="D205" s="25" t="str">
        <f t="shared" si="50"/>
        <v>Serv</v>
      </c>
      <c r="E205" s="5">
        <f t="shared" si="49"/>
        <v>8.6048718283665324E-2</v>
      </c>
      <c r="F205" s="6">
        <f t="shared" si="49"/>
        <v>8.1160542347402595E-2</v>
      </c>
      <c r="G205" s="6">
        <f t="shared" si="49"/>
        <v>8.1219784776576473E-2</v>
      </c>
      <c r="H205" s="6">
        <f t="shared" si="49"/>
        <v>3.1659828608300557E-2</v>
      </c>
      <c r="I205" s="6">
        <f t="shared" si="49"/>
        <v>0.16151876058523507</v>
      </c>
      <c r="J205" s="6">
        <f t="shared" si="49"/>
        <v>3.8434302301709654E-2</v>
      </c>
      <c r="K205" s="6">
        <f t="shared" si="49"/>
        <v>2.3770000641455086E-2</v>
      </c>
      <c r="L205" s="6">
        <f t="shared" si="49"/>
        <v>8.4934971421602473E-2</v>
      </c>
      <c r="M205" s="7">
        <f t="shared" si="49"/>
        <v>3.8137890322732029E-2</v>
      </c>
    </row>
    <row r="206" spans="2:13" x14ac:dyDescent="0.3">
      <c r="C206" s="20" t="s">
        <v>11</v>
      </c>
      <c r="D206" s="25" t="str">
        <f t="shared" si="50"/>
        <v>Agr</v>
      </c>
      <c r="E206" s="5">
        <f t="shared" si="49"/>
        <v>6.4791012595445979E-2</v>
      </c>
      <c r="F206" s="6">
        <f t="shared" si="49"/>
        <v>0.17509170559535508</v>
      </c>
      <c r="G206" s="6">
        <f t="shared" si="49"/>
        <v>0.17756842187613012</v>
      </c>
      <c r="H206" s="6">
        <f t="shared" si="49"/>
        <v>0.10439137353625606</v>
      </c>
      <c r="I206" s="6">
        <f t="shared" si="49"/>
        <v>0.19260087615489063</v>
      </c>
      <c r="J206" s="6">
        <f t="shared" si="49"/>
        <v>3.3056282708188889E-2</v>
      </c>
      <c r="K206" s="6">
        <f t="shared" si="49"/>
        <v>9.3452043638021051E-2</v>
      </c>
      <c r="L206" s="6">
        <f t="shared" si="49"/>
        <v>0.14485641547614847</v>
      </c>
      <c r="M206" s="7">
        <f t="shared" si="49"/>
        <v>0.13374792395311447</v>
      </c>
    </row>
    <row r="207" spans="2:13" x14ac:dyDescent="0.3">
      <c r="C207" s="20" t="s">
        <v>11</v>
      </c>
      <c r="D207" s="25" t="str">
        <f t="shared" si="50"/>
        <v>Ind</v>
      </c>
      <c r="E207" s="5">
        <f t="shared" si="49"/>
        <v>2.7122807409363816E-2</v>
      </c>
      <c r="F207" s="6">
        <f t="shared" si="49"/>
        <v>0.13310536694829028</v>
      </c>
      <c r="G207" s="6">
        <f t="shared" si="49"/>
        <v>2.4078712698684054E-2</v>
      </c>
      <c r="H207" s="6">
        <f t="shared" si="49"/>
        <v>0.10282870143915482</v>
      </c>
      <c r="I207" s="6">
        <f t="shared" si="49"/>
        <v>9.2310088774760542E-3</v>
      </c>
      <c r="J207" s="6">
        <f t="shared" si="49"/>
        <v>2.3264647995919634E-2</v>
      </c>
      <c r="K207" s="6">
        <f t="shared" si="49"/>
        <v>9.2703690894673368E-2</v>
      </c>
      <c r="L207" s="6">
        <f t="shared" si="49"/>
        <v>0.14097049676506879</v>
      </c>
      <c r="M207" s="7">
        <f t="shared" si="49"/>
        <v>3.2199332171328983E-2</v>
      </c>
    </row>
    <row r="208" spans="2:13" x14ac:dyDescent="0.3">
      <c r="C208" s="20" t="s">
        <v>11</v>
      </c>
      <c r="D208" s="25" t="str">
        <f t="shared" si="50"/>
        <v>Serv</v>
      </c>
      <c r="E208" s="9">
        <f t="shared" si="49"/>
        <v>0.12890195950165284</v>
      </c>
      <c r="F208" s="10">
        <f t="shared" si="49"/>
        <v>4.0673084312740353E-2</v>
      </c>
      <c r="G208" s="10">
        <f t="shared" si="49"/>
        <v>8.1718804069815298E-2</v>
      </c>
      <c r="H208" s="10">
        <f t="shared" si="49"/>
        <v>0.11452285752638126</v>
      </c>
      <c r="I208" s="10">
        <f t="shared" si="49"/>
        <v>2.7441070935205217E-2</v>
      </c>
      <c r="J208" s="10">
        <f t="shared" si="49"/>
        <v>1.1513736056729468E-2</v>
      </c>
      <c r="K208" s="10">
        <f t="shared" si="49"/>
        <v>4.3143047418494805E-2</v>
      </c>
      <c r="L208" s="10">
        <f t="shared" si="49"/>
        <v>1.6237320080003084E-2</v>
      </c>
      <c r="M208" s="11">
        <f t="shared" si="49"/>
        <v>0.11378190358770549</v>
      </c>
    </row>
    <row r="211" spans="3:13" ht="15" thickBot="1" x14ac:dyDescent="0.35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" thickBot="1" x14ac:dyDescent="0.35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3">
      <c r="C213" s="20" t="s">
        <v>1</v>
      </c>
      <c r="D213" s="28" t="s">
        <v>51</v>
      </c>
      <c r="E213" s="1" cm="1">
        <f t="array" ref="E213:M221">+MINVERSE(_xlfn.MUNIT(COUNTA($D$213:$D$221))-E200:M208)</f>
        <v>1.3021170537954783</v>
      </c>
      <c r="F213" s="2">
        <v>0.26493772737710825</v>
      </c>
      <c r="G213" s="2">
        <v>0.4014292340178886</v>
      </c>
      <c r="H213" s="2">
        <v>0.19412135652907678</v>
      </c>
      <c r="I213" s="2">
        <v>0.22327145585427263</v>
      </c>
      <c r="J213" s="2">
        <v>0.29807369771306158</v>
      </c>
      <c r="K213" s="2">
        <v>0.19997131886514308</v>
      </c>
      <c r="L213" s="2">
        <v>0.30100814192638786</v>
      </c>
      <c r="M213" s="3">
        <v>0.2530664565410593</v>
      </c>
    </row>
    <row r="214" spans="3:13" x14ac:dyDescent="0.3">
      <c r="C214" s="20" t="s">
        <v>1</v>
      </c>
      <c r="D214" s="25" t="s">
        <v>52</v>
      </c>
      <c r="E214" s="5">
        <v>0.3665287752454956</v>
      </c>
      <c r="F214" s="6">
        <v>1.319479990287483</v>
      </c>
      <c r="G214" s="6">
        <v>0.48157673769923093</v>
      </c>
      <c r="H214" s="6">
        <v>0.3061984141887657</v>
      </c>
      <c r="I214" s="6">
        <v>0.3358929871800716</v>
      </c>
      <c r="J214" s="6">
        <v>0.40570108990830095</v>
      </c>
      <c r="K214" s="6">
        <v>0.25373372570423891</v>
      </c>
      <c r="L214" s="6">
        <v>0.353896742578169</v>
      </c>
      <c r="M214" s="7">
        <v>0.41425562655253778</v>
      </c>
    </row>
    <row r="215" spans="3:13" x14ac:dyDescent="0.3">
      <c r="C215" s="20" t="s">
        <v>1</v>
      </c>
      <c r="D215" s="25" t="s">
        <v>53</v>
      </c>
      <c r="E215" s="5">
        <v>0.21397292286954556</v>
      </c>
      <c r="F215" s="6">
        <v>0.2016207871966581</v>
      </c>
      <c r="G215" s="6">
        <v>1.2439881486713233</v>
      </c>
      <c r="H215" s="6">
        <v>0.26944729365580283</v>
      </c>
      <c r="I215" s="6">
        <v>0.31048388009730193</v>
      </c>
      <c r="J215" s="6">
        <v>0.23401766069135044</v>
      </c>
      <c r="K215" s="6">
        <v>0.25076062936103433</v>
      </c>
      <c r="L215" s="6">
        <v>0.26224028105753289</v>
      </c>
      <c r="M215" s="7">
        <v>0.34086880306870931</v>
      </c>
    </row>
    <row r="216" spans="3:13" x14ac:dyDescent="0.3">
      <c r="C216" s="20" t="s">
        <v>10</v>
      </c>
      <c r="D216" s="25" t="str">
        <f>+D213</f>
        <v>Agr</v>
      </c>
      <c r="E216" s="5">
        <v>0.53603950874119966</v>
      </c>
      <c r="F216" s="6">
        <v>0.50933007509699935</v>
      </c>
      <c r="G216" s="6">
        <v>0.60789107996121805</v>
      </c>
      <c r="H216" s="6">
        <v>1.4729265167980732</v>
      </c>
      <c r="I216" s="6">
        <v>0.66279258390473972</v>
      </c>
      <c r="J216" s="6">
        <v>0.53096286827112249</v>
      </c>
      <c r="K216" s="6">
        <v>0.48287664914765821</v>
      </c>
      <c r="L216" s="6">
        <v>0.57918929508412553</v>
      </c>
      <c r="M216" s="7">
        <v>0.62936584941843277</v>
      </c>
    </row>
    <row r="217" spans="3:13" x14ac:dyDescent="0.3">
      <c r="C217" s="20" t="s">
        <v>10</v>
      </c>
      <c r="D217" s="25" t="str">
        <f t="shared" ref="D217:D221" si="51">+D214</f>
        <v>Ind</v>
      </c>
      <c r="E217" s="5">
        <v>0.32295496348549335</v>
      </c>
      <c r="F217" s="6">
        <v>0.29656084395273996</v>
      </c>
      <c r="G217" s="6">
        <v>0.38556575099158658</v>
      </c>
      <c r="H217" s="6">
        <v>0.32774630387264331</v>
      </c>
      <c r="I217" s="6">
        <v>1.4462114269446689</v>
      </c>
      <c r="J217" s="6">
        <v>0.31362890661557263</v>
      </c>
      <c r="K217" s="6">
        <v>0.34798992084182839</v>
      </c>
      <c r="L217" s="6">
        <v>0.30924548798556389</v>
      </c>
      <c r="M217" s="7">
        <v>0.4523735495864013</v>
      </c>
    </row>
    <row r="218" spans="3:13" x14ac:dyDescent="0.3">
      <c r="C218" s="20" t="s">
        <v>10</v>
      </c>
      <c r="D218" s="25" t="str">
        <f t="shared" si="51"/>
        <v>Serv</v>
      </c>
      <c r="E218" s="5">
        <v>0.28248955380383362</v>
      </c>
      <c r="F218" s="6">
        <v>0.27248767222143588</v>
      </c>
      <c r="G218" s="6">
        <v>0.32009466844339884</v>
      </c>
      <c r="H218" s="6">
        <v>0.22015472853400028</v>
      </c>
      <c r="I218" s="6">
        <v>0.38627182238847846</v>
      </c>
      <c r="J218" s="6">
        <v>1.2284139050074816</v>
      </c>
      <c r="K218" s="6">
        <v>0.20358477324047414</v>
      </c>
      <c r="L218" s="6">
        <v>0.29431897767258958</v>
      </c>
      <c r="M218" s="7">
        <v>0.27615178946605046</v>
      </c>
    </row>
    <row r="219" spans="3:13" x14ac:dyDescent="0.3">
      <c r="C219" s="20" t="s">
        <v>11</v>
      </c>
      <c r="D219" s="25" t="str">
        <f t="shared" si="51"/>
        <v>Agr</v>
      </c>
      <c r="E219" s="5">
        <v>0.43385583537548406</v>
      </c>
      <c r="F219" s="6">
        <v>0.53557125195900568</v>
      </c>
      <c r="G219" s="6">
        <v>0.62285176921046781</v>
      </c>
      <c r="H219" s="6">
        <v>0.46644037956740647</v>
      </c>
      <c r="I219" s="6">
        <v>0.61543035055466899</v>
      </c>
      <c r="J219" s="6">
        <v>0.38411092204840819</v>
      </c>
      <c r="K219" s="6">
        <v>1.4291527402980131</v>
      </c>
      <c r="L219" s="6">
        <v>0.53838156827915273</v>
      </c>
      <c r="M219" s="7">
        <v>0.58772883283778155</v>
      </c>
    </row>
    <row r="220" spans="3:13" x14ac:dyDescent="0.3">
      <c r="C220" s="20" t="s">
        <v>11</v>
      </c>
      <c r="D220" s="25" t="str">
        <f t="shared" si="51"/>
        <v>Ind</v>
      </c>
      <c r="E220" s="5">
        <v>0.23854422416564314</v>
      </c>
      <c r="F220" s="6">
        <v>0.35637740608160895</v>
      </c>
      <c r="G220" s="6">
        <v>0.28715677649175686</v>
      </c>
      <c r="H220" s="6">
        <v>0.30846365007191123</v>
      </c>
      <c r="I220" s="6">
        <v>0.24879354286954855</v>
      </c>
      <c r="J220" s="6">
        <v>0.22800591634237016</v>
      </c>
      <c r="K220" s="6">
        <v>0.28197992361783047</v>
      </c>
      <c r="L220" s="6">
        <v>1.3829162814895286</v>
      </c>
      <c r="M220" s="7">
        <v>0.28337777131962461</v>
      </c>
    </row>
    <row r="221" spans="3:13" x14ac:dyDescent="0.3">
      <c r="C221" s="20" t="s">
        <v>11</v>
      </c>
      <c r="D221" s="25" t="str">
        <f t="shared" si="51"/>
        <v>Serv</v>
      </c>
      <c r="E221" s="9">
        <v>0.33437999786270667</v>
      </c>
      <c r="F221" s="10">
        <v>0.22882916448282037</v>
      </c>
      <c r="G221" s="10">
        <v>0.32543577836332349</v>
      </c>
      <c r="H221" s="10">
        <v>0.29884304766088976</v>
      </c>
      <c r="I221" s="10">
        <v>0.24648955849845244</v>
      </c>
      <c r="J221" s="10">
        <v>0.20071616079234542</v>
      </c>
      <c r="K221" s="10">
        <v>0.2144155501130883</v>
      </c>
      <c r="L221" s="10">
        <v>0.22399903779327771</v>
      </c>
      <c r="M221" s="11">
        <v>1.3483733286329593</v>
      </c>
    </row>
    <row r="223" spans="3:13" x14ac:dyDescent="0.3">
      <c r="E223" s="16"/>
      <c r="F223" s="16"/>
      <c r="G223" s="18"/>
      <c r="I223" s="16"/>
      <c r="L223" s="16"/>
    </row>
    <row r="224" spans="3:13" x14ac:dyDescent="0.3">
      <c r="E224" s="16"/>
      <c r="F224" s="16"/>
      <c r="G224" s="18"/>
      <c r="I224" s="16"/>
      <c r="L224" s="16"/>
    </row>
    <row r="225" spans="5:12" x14ac:dyDescent="0.3">
      <c r="E225" s="16"/>
      <c r="F225" s="16"/>
      <c r="G225" s="18"/>
      <c r="I225" s="16"/>
      <c r="L225" s="16"/>
    </row>
    <row r="226" spans="5:12" x14ac:dyDescent="0.3">
      <c r="E226" s="16"/>
      <c r="F226" s="16"/>
      <c r="G226" s="18"/>
      <c r="I226" s="16"/>
      <c r="L226" s="16"/>
    </row>
    <row r="227" spans="5:12" x14ac:dyDescent="0.3">
      <c r="E227" s="16"/>
      <c r="F227" s="16"/>
      <c r="G227" s="18"/>
      <c r="I227" s="16"/>
      <c r="L227" s="16"/>
    </row>
    <row r="228" spans="5:12" x14ac:dyDescent="0.3">
      <c r="E228" s="16"/>
      <c r="F228" s="16"/>
      <c r="G228" s="18"/>
      <c r="I228" s="16"/>
      <c r="L228" s="16"/>
    </row>
    <row r="229" spans="5:12" x14ac:dyDescent="0.3">
      <c r="E229" s="16"/>
      <c r="F229" s="16"/>
      <c r="G229" s="18"/>
      <c r="I229" s="16"/>
      <c r="L229" s="16"/>
    </row>
    <row r="230" spans="5:12" x14ac:dyDescent="0.3">
      <c r="E230" s="16"/>
      <c r="F230" s="16"/>
      <c r="G230" s="18"/>
      <c r="I230" s="16"/>
      <c r="L230" s="16"/>
    </row>
    <row r="231" spans="5:12" x14ac:dyDescent="0.3">
      <c r="E231" s="16"/>
      <c r="F231" s="16"/>
      <c r="G231" s="18"/>
      <c r="I231" s="16"/>
      <c r="L231" s="16"/>
    </row>
    <row r="234" spans="5:12" x14ac:dyDescent="0.3">
      <c r="E234" s="16"/>
    </row>
    <row r="235" spans="5:12" x14ac:dyDescent="0.3">
      <c r="E235" s="16"/>
      <c r="F235" s="18"/>
    </row>
    <row r="236" spans="5:12" x14ac:dyDescent="0.3">
      <c r="E236" s="16"/>
      <c r="F236" s="18"/>
    </row>
    <row r="237" spans="5:12" x14ac:dyDescent="0.3">
      <c r="E237" s="16"/>
      <c r="F237" s="18"/>
    </row>
    <row r="238" spans="5:12" x14ac:dyDescent="0.3">
      <c r="E238" s="16"/>
      <c r="F238" s="18"/>
    </row>
    <row r="239" spans="5:12" x14ac:dyDescent="0.3">
      <c r="E239" s="16"/>
      <c r="F239" s="18"/>
    </row>
    <row r="240" spans="5:12" x14ac:dyDescent="0.3">
      <c r="E240" s="16"/>
      <c r="F240" s="18"/>
    </row>
    <row r="241" spans="5:6" x14ac:dyDescent="0.3">
      <c r="E241" s="16"/>
      <c r="F241" s="18"/>
    </row>
    <row r="242" spans="5:6" x14ac:dyDescent="0.3">
      <c r="E242" s="16"/>
      <c r="F242" s="18"/>
    </row>
    <row r="243" spans="5:6" x14ac:dyDescent="0.3">
      <c r="F243" s="18"/>
    </row>
  </sheetData>
  <conditionalFormatting sqref="E106:M114">
    <cfRule type="expression" dxfId="2" priority="1">
      <formula>E106&lt;0</formula>
    </cfRule>
  </conditionalFormatting>
  <conditionalFormatting sqref="E131:M133">
    <cfRule type="expression" dxfId="1" priority="3">
      <formula>E131&lt;0</formula>
    </cfRule>
  </conditionalFormatting>
  <conditionalFormatting sqref="E137:M145">
    <cfRule type="expression" dxfId="0" priority="4">
      <formula>E137&lt;0</formula>
    </cfRule>
  </conditionalFormatting>
  <conditionalFormatting sqref="O137:W1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089A2C896BC941903B1B853AEED257" ma:contentTypeVersion="14" ma:contentTypeDescription="Creare un nuovo documento." ma:contentTypeScope="" ma:versionID="3a7f16f3274eafcbb1aa42755d34bae9">
  <xsd:schema xmlns:xsd="http://www.w3.org/2001/XMLSchema" xmlns:xs="http://www.w3.org/2001/XMLSchema" xmlns:p="http://schemas.microsoft.com/office/2006/metadata/properties" xmlns:ns2="20912362-bf21-460c-9dd2-47f7a60b9dca" xmlns:ns3="a8dcb262-2592-46ce-8dc6-dbb2fb614b8a" targetNamespace="http://schemas.microsoft.com/office/2006/metadata/properties" ma:root="true" ma:fieldsID="60213cfc4ac64db6b4a45df1d9575320" ns2:_="" ns3:_="">
    <xsd:import namespace="20912362-bf21-460c-9dd2-47f7a60b9dca"/>
    <xsd:import namespace="a8dcb262-2592-46ce-8dc6-dbb2fb614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12362-bf21-460c-9dd2-47f7a60b9d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be26f059-a100-4a06-81f8-6042079323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b262-2592-46ce-8dc6-dbb2fb614b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af58577-1427-4286-b566-5c8b07720efe}" ma:internalName="TaxCatchAll" ma:showField="CatchAllData" ma:web="a8dcb262-2592-46ce-8dc6-dbb2fb614b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912362-bf21-460c-9dd2-47f7a60b9dca">
      <Terms xmlns="http://schemas.microsoft.com/office/infopath/2007/PartnerControls"/>
    </lcf76f155ced4ddcb4097134ff3c332f>
    <TaxCatchAll xmlns="a8dcb262-2592-46ce-8dc6-dbb2fb614b8a" xsi:nil="true"/>
  </documentManagement>
</p:properties>
</file>

<file path=customXml/itemProps1.xml><?xml version="1.0" encoding="utf-8"?>
<ds:datastoreItem xmlns:ds="http://schemas.openxmlformats.org/officeDocument/2006/customXml" ds:itemID="{689D6F1D-5ABE-4F17-8B84-B4D830E93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12362-bf21-460c-9dd2-47f7a60b9dca"/>
    <ds:schemaRef ds:uri="a8dcb262-2592-46ce-8dc6-dbb2fb614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BDCB8F-502D-4E1C-A7CA-EE7ED712BB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5435C3-4E2F-43AB-96AA-DF9121DE1382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a8dcb262-2592-46ce-8dc6-dbb2fb614b8a"/>
    <ds:schemaRef ds:uri="20912362-bf21-460c-9dd2-47f7a60b9d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IO_sub_model</vt:lpstr>
      <vt:lpstr>IO_sub_model - t+1</vt:lpstr>
      <vt:lpstr>IO_sub_model - t+2</vt:lpstr>
      <vt:lpstr>IO_sub_model - t+3</vt:lpstr>
      <vt:lpstr>IO_sub_model (2)</vt:lpstr>
      <vt:lpstr>IO_sub_model (3)</vt:lpstr>
      <vt:lpstr>IO_sub_model (4)</vt:lpstr>
      <vt:lpstr>IO_sub_model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Cesare Carluccio</dc:creator>
  <cp:lastModifiedBy>Giorgio Cesare Carluccio</cp:lastModifiedBy>
  <dcterms:created xsi:type="dcterms:W3CDTF">2024-05-25T22:44:34Z</dcterms:created>
  <dcterms:modified xsi:type="dcterms:W3CDTF">2026-06-01T11:33:19Z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0x01010002089A2C896BC941903B1B853AEED257</vt:lpwstr>
  </property>
  <property fmtid="{D5CDD505-2E9C-101B-9397-08002B2CF9AE}" pid="3" name="MediaServiceImageTags">
    <vt:lpwstr/>
  </property>
</Properties>
</file>